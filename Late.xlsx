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namedSheetViews/namedSheetView1.xml" ContentType="application/vnd.ms-excel.namedsheetviews+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1.xml" ContentType="application/vnd.openxmlformats-officedocument.spreadsheetml.comments+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capgemini-my.sharepoint.com/personal/bharat_salian_capgemini_com/Documents/Desktop/"/>
    </mc:Choice>
  </mc:AlternateContent>
  <xr:revisionPtr revIDLastSave="325" documentId="8_{CA5D1087-56B7-461B-9CFB-8C85B1135BD0}" xr6:coauthVersionLast="47" xr6:coauthVersionMax="47" xr10:uidLastSave="{D6156CD5-2153-440A-BDBF-C7990F106029}"/>
  <bookViews>
    <workbookView xWindow="28680" yWindow="-120" windowWidth="29040" windowHeight="15720" firstSheet="12" activeTab="12" xr2:uid="{3CFC5090-0B58-45BD-A83A-E81ABE9BB3EF}"/>
  </bookViews>
  <sheets>
    <sheet name="Master Productivity" sheetId="8" r:id="rId1"/>
    <sheet name="Pivot Productivity" sheetId="9" r:id="rId2"/>
    <sheet name="Master Data Velocity" sheetId="10" r:id="rId3"/>
    <sheet name="Pivot Velocity" sheetId="11" r:id="rId4"/>
    <sheet name="Master Data Predictability" sheetId="12" r:id="rId5"/>
    <sheet name="Pivot Predictability" sheetId="13" r:id="rId6"/>
    <sheet name="Master PRD Defect Density %" sheetId="14" r:id="rId7"/>
    <sheet name="Pivot PRD Defect Density" sheetId="15" r:id="rId8"/>
    <sheet name="Master Defects" sheetId="16" r:id="rId9"/>
    <sheet name="Pivot Defects" sheetId="17" r:id="rId10"/>
    <sheet name="Review4" sheetId="48" r:id="rId11"/>
    <sheet name="Review5" sheetId="51" r:id="rId12"/>
    <sheet name="Productivity Insights" sheetId="52" r:id="rId13"/>
    <sheet name="Lead Observations" sheetId="53" r:id="rId14"/>
  </sheets>
  <externalReferences>
    <externalReference r:id="rId15"/>
  </externalReferences>
  <definedNames>
    <definedName name="_xlnm._FilterDatabase" localSheetId="4" hidden="1">'Master Data Predictability'!$A$1:$AT$26</definedName>
    <definedName name="_xlnm._FilterDatabase" localSheetId="2" hidden="1">'Master Data Velocity'!$A$1:$BI$33</definedName>
    <definedName name="_xlnm._FilterDatabase" localSheetId="8" hidden="1">'Master Defects'!$A$1:$S$32</definedName>
    <definedName name="_xlnm._FilterDatabase" localSheetId="6" hidden="1">'Master PRD Defect Density %'!$A$1:$S$26</definedName>
    <definedName name="_xlnm._FilterDatabase" localSheetId="0" hidden="1">'Master Productivity'!$A$1:$AT$29</definedName>
  </definedNames>
  <calcPr calcId="191029"/>
  <pivotCaches>
    <pivotCache cacheId="10" r:id="rId16"/>
    <pivotCache cacheId="11" r:id="rId17"/>
    <pivotCache cacheId="12" r:id="rId18"/>
    <pivotCache cacheId="13" r:id="rId19"/>
    <pivotCache cacheId="14" r:id="rId2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3" i="52" l="1"/>
  <c r="I23" i="52"/>
  <c r="H23" i="52"/>
  <c r="J22" i="52"/>
  <c r="I22" i="52"/>
  <c r="H22" i="52"/>
  <c r="J21" i="52"/>
  <c r="I21" i="52"/>
  <c r="H21" i="52"/>
  <c r="J20" i="52"/>
  <c r="I20" i="52"/>
  <c r="H20" i="52"/>
  <c r="J19" i="52"/>
  <c r="I19" i="52"/>
  <c r="H19" i="52"/>
  <c r="J18" i="52"/>
  <c r="I18" i="52"/>
  <c r="H18" i="52"/>
  <c r="D23" i="52"/>
  <c r="C23" i="52"/>
  <c r="B23" i="52"/>
  <c r="D22" i="52"/>
  <c r="C22" i="52"/>
  <c r="B22" i="52"/>
  <c r="D21" i="52"/>
  <c r="C21" i="52"/>
  <c r="B21" i="52"/>
  <c r="D20" i="52"/>
  <c r="C20" i="52"/>
  <c r="B20" i="52"/>
  <c r="D19" i="52"/>
  <c r="C19" i="52"/>
  <c r="B19" i="52"/>
  <c r="D18" i="52"/>
  <c r="C18" i="52"/>
  <c r="B18" i="52"/>
  <c r="I14" i="52" a="1"/>
  <c r="I14" i="52"/>
  <c r="H14" i="52"/>
  <c r="I13" i="52" a="1"/>
  <c r="I13" i="52" s="1"/>
  <c r="H13" i="52"/>
  <c r="I12" i="52" a="1"/>
  <c r="I12" i="52" s="1"/>
  <c r="H12" i="52"/>
  <c r="I11" i="52" a="1"/>
  <c r="I11" i="52" s="1"/>
  <c r="H11" i="52"/>
  <c r="I10" i="52" a="1"/>
  <c r="I10" i="52" s="1"/>
  <c r="H10" i="52"/>
  <c r="D12" i="52"/>
  <c r="D11" i="52"/>
  <c r="C12" i="52"/>
  <c r="C11" i="52"/>
  <c r="C10" i="52"/>
  <c r="G5" i="52" a="1"/>
  <c r="G5" i="52" s="1"/>
  <c r="F5" i="52"/>
  <c r="E5" i="52"/>
  <c r="D5" i="52"/>
  <c r="C5" i="52"/>
  <c r="B5" i="52"/>
  <c r="A5" i="52"/>
  <c r="I8" i="53"/>
  <c r="I9" i="53"/>
  <c r="I10" i="53"/>
  <c r="I11" i="53"/>
  <c r="I12" i="53"/>
  <c r="I13" i="53"/>
  <c r="I14" i="53"/>
  <c r="I15" i="53"/>
  <c r="I16" i="53"/>
  <c r="I17" i="53"/>
  <c r="I18" i="53"/>
  <c r="I19" i="53"/>
  <c r="I20" i="53"/>
  <c r="I21" i="53"/>
  <c r="I22" i="53"/>
  <c r="I23" i="53"/>
  <c r="I24" i="53"/>
  <c r="I25" i="53"/>
  <c r="I26" i="53"/>
  <c r="I27" i="53"/>
  <c r="I28" i="53"/>
  <c r="I29" i="53"/>
  <c r="I30" i="53"/>
  <c r="I31" i="53"/>
  <c r="I32" i="53"/>
  <c r="I33" i="53"/>
  <c r="I34" i="53"/>
  <c r="I35" i="53"/>
  <c r="I36" i="53"/>
  <c r="H8" i="53"/>
  <c r="H9" i="53"/>
  <c r="H10" i="53"/>
  <c r="H11" i="53"/>
  <c r="H12" i="53"/>
  <c r="H13" i="53"/>
  <c r="H14" i="53"/>
  <c r="H15" i="53"/>
  <c r="H16" i="53"/>
  <c r="H17" i="53"/>
  <c r="H18" i="53"/>
  <c r="H19" i="53"/>
  <c r="H20" i="53"/>
  <c r="H21" i="53"/>
  <c r="H22" i="53"/>
  <c r="H23" i="53"/>
  <c r="H24" i="53"/>
  <c r="H25" i="53"/>
  <c r="H26" i="53"/>
  <c r="H27" i="53"/>
  <c r="H28" i="53"/>
  <c r="H29" i="53"/>
  <c r="H30" i="53"/>
  <c r="H31" i="53"/>
  <c r="H32" i="53"/>
  <c r="H33" i="53"/>
  <c r="H34" i="53"/>
  <c r="H35" i="53"/>
  <c r="H36" i="53"/>
  <c r="G8" i="53"/>
  <c r="G9" i="53"/>
  <c r="G10" i="53"/>
  <c r="G11" i="53"/>
  <c r="G12" i="53"/>
  <c r="G13" i="53"/>
  <c r="G14" i="53"/>
  <c r="G15" i="53"/>
  <c r="G16" i="53"/>
  <c r="G17" i="53"/>
  <c r="G18" i="53"/>
  <c r="G19" i="53"/>
  <c r="G20" i="53"/>
  <c r="G21" i="53"/>
  <c r="G22" i="53"/>
  <c r="G23" i="53"/>
  <c r="G24" i="53"/>
  <c r="G25" i="53"/>
  <c r="G26" i="53"/>
  <c r="G27" i="53"/>
  <c r="G28" i="53"/>
  <c r="G29" i="53"/>
  <c r="G30" i="53"/>
  <c r="G31" i="53"/>
  <c r="G32" i="53"/>
  <c r="G33" i="53"/>
  <c r="G34" i="53"/>
  <c r="G35" i="53"/>
  <c r="G36" i="53"/>
  <c r="F8" i="53"/>
  <c r="F9" i="53"/>
  <c r="F10" i="53"/>
  <c r="F11" i="53"/>
  <c r="F12" i="53"/>
  <c r="F13" i="53"/>
  <c r="F14" i="53"/>
  <c r="F15" i="53"/>
  <c r="F16" i="53"/>
  <c r="F17" i="53"/>
  <c r="F18" i="53"/>
  <c r="F19" i="53"/>
  <c r="F20" i="53"/>
  <c r="F21" i="53"/>
  <c r="F22" i="53"/>
  <c r="F23" i="53"/>
  <c r="F24" i="53"/>
  <c r="F25" i="53"/>
  <c r="F26" i="53"/>
  <c r="F27" i="53"/>
  <c r="F28" i="53"/>
  <c r="F29" i="53"/>
  <c r="F30" i="53"/>
  <c r="F31" i="53"/>
  <c r="F32" i="53"/>
  <c r="F33" i="53"/>
  <c r="F34" i="53"/>
  <c r="F35" i="53"/>
  <c r="F36" i="53"/>
  <c r="E8" i="53"/>
  <c r="E9" i="53"/>
  <c r="E10" i="53"/>
  <c r="E11" i="53"/>
  <c r="E12" i="53"/>
  <c r="B12" i="53" s="1"/>
  <c r="E13" i="53"/>
  <c r="E14" i="53"/>
  <c r="E15" i="53"/>
  <c r="E16" i="53"/>
  <c r="E17" i="53"/>
  <c r="E18" i="53"/>
  <c r="E19" i="53"/>
  <c r="E20" i="53"/>
  <c r="E21" i="53"/>
  <c r="E22" i="53"/>
  <c r="E23" i="53"/>
  <c r="E24" i="53"/>
  <c r="E25" i="53"/>
  <c r="E26" i="53"/>
  <c r="E27" i="53"/>
  <c r="B27" i="53" s="1"/>
  <c r="E28" i="53"/>
  <c r="E29" i="53"/>
  <c r="E30" i="53"/>
  <c r="E31" i="53"/>
  <c r="E32" i="53"/>
  <c r="E33" i="53"/>
  <c r="E34" i="53"/>
  <c r="E35" i="53"/>
  <c r="E36" i="53"/>
  <c r="D8" i="53"/>
  <c r="D9" i="53"/>
  <c r="D10" i="53"/>
  <c r="D11" i="53"/>
  <c r="D12" i="53"/>
  <c r="D13" i="53"/>
  <c r="D14" i="53"/>
  <c r="D15" i="53"/>
  <c r="D16" i="53"/>
  <c r="D17" i="53"/>
  <c r="D18" i="53"/>
  <c r="D19" i="53"/>
  <c r="D20" i="53"/>
  <c r="D21" i="53"/>
  <c r="D22" i="53"/>
  <c r="D23" i="53"/>
  <c r="D24" i="53"/>
  <c r="D25" i="53"/>
  <c r="D26" i="53"/>
  <c r="D27" i="53"/>
  <c r="D28" i="53"/>
  <c r="D29" i="53"/>
  <c r="D30" i="53"/>
  <c r="D31" i="53"/>
  <c r="D32" i="53"/>
  <c r="D33" i="53"/>
  <c r="D34" i="53"/>
  <c r="D35" i="53"/>
  <c r="D36" i="53"/>
  <c r="C8" i="53"/>
  <c r="C9" i="53"/>
  <c r="C10" i="53"/>
  <c r="C11" i="53"/>
  <c r="C12" i="53"/>
  <c r="C13" i="53"/>
  <c r="C14" i="53"/>
  <c r="C15" i="53"/>
  <c r="C16" i="53"/>
  <c r="C17" i="53"/>
  <c r="C18" i="53"/>
  <c r="C19" i="53"/>
  <c r="C20" i="53"/>
  <c r="C21" i="53"/>
  <c r="C22" i="53"/>
  <c r="C23" i="53"/>
  <c r="C24" i="53"/>
  <c r="C25" i="53"/>
  <c r="C26" i="53"/>
  <c r="C27" i="53"/>
  <c r="C28" i="53"/>
  <c r="C29" i="53"/>
  <c r="C30" i="53"/>
  <c r="C31" i="53"/>
  <c r="C32" i="53"/>
  <c r="C33" i="53"/>
  <c r="C34" i="53"/>
  <c r="C35" i="53"/>
  <c r="C36" i="53"/>
  <c r="A8" i="53"/>
  <c r="A9" i="53"/>
  <c r="A10" i="53"/>
  <c r="A11" i="53"/>
  <c r="A12" i="53"/>
  <c r="A13" i="53"/>
  <c r="A14" i="53"/>
  <c r="A15" i="53"/>
  <c r="A16" i="53"/>
  <c r="A17" i="53"/>
  <c r="A18" i="53"/>
  <c r="A19" i="53"/>
  <c r="A20" i="53"/>
  <c r="A21" i="53"/>
  <c r="A22" i="53"/>
  <c r="A23" i="53"/>
  <c r="A24" i="53"/>
  <c r="A25" i="53"/>
  <c r="A26" i="53"/>
  <c r="A27" i="53"/>
  <c r="A28" i="53"/>
  <c r="A29" i="53"/>
  <c r="A30" i="53"/>
  <c r="A31" i="53"/>
  <c r="A32" i="53"/>
  <c r="A33" i="53"/>
  <c r="A34" i="53"/>
  <c r="A35" i="53"/>
  <c r="A36" i="53"/>
  <c r="G5" i="53" a="1"/>
  <c r="G5" i="53" s="1"/>
  <c r="F5" i="53"/>
  <c r="E5" i="53"/>
  <c r="D5" i="53"/>
  <c r="C5" i="53"/>
  <c r="B5" i="53"/>
  <c r="A5" i="53"/>
  <c r="B8" i="53"/>
  <c r="B9" i="53"/>
  <c r="B10" i="53"/>
  <c r="B16" i="53"/>
  <c r="B21" i="53"/>
  <c r="B22" i="53"/>
  <c r="B30" i="53"/>
  <c r="BF6" i="10"/>
  <c r="AT11" i="12"/>
  <c r="AT12" i="12"/>
  <c r="AT13" i="12"/>
  <c r="AT14" i="12"/>
  <c r="AT15" i="12"/>
  <c r="AT16" i="12"/>
  <c r="AT18" i="12"/>
  <c r="AT19" i="12"/>
  <c r="AT20" i="12"/>
  <c r="AT21" i="12"/>
  <c r="AT23" i="12"/>
  <c r="AT24" i="12"/>
  <c r="AT26" i="12"/>
  <c r="AT3" i="12"/>
  <c r="AT4" i="12"/>
  <c r="AT5" i="12"/>
  <c r="AT6" i="12"/>
  <c r="AT7" i="12"/>
  <c r="AT8" i="12"/>
  <c r="AT9" i="12"/>
  <c r="AT2" i="12"/>
  <c r="BU3" i="10"/>
  <c r="BW3" i="10" s="1"/>
  <c r="BX3" i="10" s="1"/>
  <c r="BU4" i="10"/>
  <c r="BW4" i="10" s="1"/>
  <c r="BX4" i="10" s="1"/>
  <c r="BU5" i="10"/>
  <c r="BW5" i="10" s="1"/>
  <c r="BX5" i="10" s="1"/>
  <c r="BU6" i="10"/>
  <c r="BW6" i="10" s="1"/>
  <c r="BX6" i="10" s="1"/>
  <c r="BU7" i="10"/>
  <c r="BW7" i="10" s="1"/>
  <c r="BX7" i="10" s="1"/>
  <c r="BU8" i="10"/>
  <c r="BW8" i="10" s="1"/>
  <c r="BX8" i="10" s="1"/>
  <c r="BU9" i="10"/>
  <c r="BW9" i="10" s="1"/>
  <c r="BX9" i="10" s="1"/>
  <c r="BU11" i="10"/>
  <c r="BW11" i="10" s="1"/>
  <c r="BX11" i="10" s="1"/>
  <c r="BU12" i="10"/>
  <c r="BW12" i="10" s="1"/>
  <c r="BX12" i="10" s="1"/>
  <c r="BU13" i="10"/>
  <c r="BW13" i="10" s="1"/>
  <c r="BX13" i="10" s="1"/>
  <c r="BU14" i="10"/>
  <c r="BW14" i="10" s="1"/>
  <c r="BX14" i="10" s="1"/>
  <c r="BU15" i="10"/>
  <c r="BW15" i="10" s="1"/>
  <c r="BX15" i="10" s="1"/>
  <c r="BU16" i="10"/>
  <c r="BW16" i="10" s="1"/>
  <c r="BX16" i="10" s="1"/>
  <c r="BU17" i="10"/>
  <c r="BW17" i="10" s="1"/>
  <c r="BX17" i="10" s="1"/>
  <c r="BU18" i="10"/>
  <c r="BW18" i="10" s="1"/>
  <c r="BX18" i="10" s="1"/>
  <c r="BU19" i="10"/>
  <c r="BW19" i="10" s="1"/>
  <c r="BX19" i="10" s="1"/>
  <c r="BU20" i="10"/>
  <c r="BW20" i="10" s="1"/>
  <c r="BX20" i="10" s="1"/>
  <c r="BU21" i="10"/>
  <c r="BW21" i="10" s="1"/>
  <c r="BX21" i="10" s="1"/>
  <c r="BU23" i="10"/>
  <c r="BW23" i="10" s="1"/>
  <c r="BX23" i="10" s="1"/>
  <c r="BU24" i="10"/>
  <c r="BW24" i="10" s="1"/>
  <c r="BX24" i="10" s="1"/>
  <c r="BU26" i="10"/>
  <c r="BW26" i="10" s="1"/>
  <c r="BX26" i="10" s="1"/>
  <c r="BU2" i="10"/>
  <c r="BW2" i="10" s="1"/>
  <c r="BX2" i="10" s="1"/>
  <c r="AT29" i="8"/>
  <c r="AT24" i="8"/>
  <c r="AT23" i="8"/>
  <c r="AT21" i="8"/>
  <c r="AT20" i="8"/>
  <c r="AT19" i="8"/>
  <c r="AT18" i="8"/>
  <c r="AT16" i="8"/>
  <c r="AT15" i="8"/>
  <c r="AT14" i="8"/>
  <c r="AT12" i="8"/>
  <c r="AT11" i="8"/>
  <c r="AT9" i="8"/>
  <c r="AT8" i="8"/>
  <c r="AT7" i="8"/>
  <c r="AT6" i="8"/>
  <c r="AT5" i="8"/>
  <c r="AT4" i="8"/>
  <c r="AT3" i="8"/>
  <c r="AT2" i="8"/>
  <c r="B15" i="53" l="1"/>
  <c r="B28" i="53"/>
  <c r="B20" i="53"/>
  <c r="B36" i="53"/>
  <c r="B35" i="53"/>
  <c r="B34" i="53"/>
  <c r="B33" i="53"/>
  <c r="B32" i="53"/>
  <c r="B24" i="53"/>
  <c r="B23" i="53"/>
  <c r="B31" i="53"/>
  <c r="B19" i="53"/>
  <c r="B26" i="53"/>
  <c r="B14" i="53"/>
  <c r="B25" i="53"/>
  <c r="B13" i="53"/>
  <c r="B11" i="53"/>
  <c r="B18" i="53"/>
  <c r="AL3" i="8"/>
  <c r="AL4" i="8"/>
  <c r="AL5" i="8"/>
  <c r="AL6" i="8"/>
  <c r="AL7" i="8"/>
  <c r="AL8" i="8"/>
  <c r="AL9" i="8"/>
  <c r="AL11" i="8"/>
  <c r="AL12" i="8"/>
  <c r="AL13" i="8"/>
  <c r="AL14" i="8"/>
  <c r="AL15" i="8"/>
  <c r="AL16" i="8"/>
  <c r="AL17" i="8"/>
  <c r="AL18" i="8"/>
  <c r="AL19" i="8"/>
  <c r="AL20" i="8"/>
  <c r="AL21" i="8"/>
  <c r="AL23" i="8"/>
  <c r="AL24" i="8"/>
  <c r="AL25" i="8"/>
  <c r="AL29" i="8"/>
  <c r="B29" i="53" l="1"/>
  <c r="B17" i="53"/>
  <c r="F10" i="48"/>
  <c r="F4" i="48"/>
  <c r="F3" i="48"/>
  <c r="F5" i="48"/>
  <c r="F6" i="48"/>
  <c r="F7" i="48"/>
  <c r="F8" i="48"/>
  <c r="F9" i="48"/>
  <c r="F2" i="48"/>
  <c r="BK22" i="10" l="1"/>
  <c r="BL22" i="10" s="1"/>
  <c r="BK25" i="10" l="1"/>
  <c r="BK26" i="10"/>
  <c r="BL27" i="10"/>
  <c r="BL28" i="10"/>
  <c r="BL29" i="10"/>
  <c r="BL30" i="10"/>
  <c r="BL31" i="10"/>
  <c r="BL32" i="10"/>
  <c r="BL33" i="10"/>
  <c r="BK3" i="10"/>
  <c r="BK4" i="10"/>
  <c r="BK5" i="10"/>
  <c r="BK6" i="10"/>
  <c r="BK7" i="10"/>
  <c r="BK8" i="10"/>
  <c r="BK9" i="10"/>
  <c r="BK10" i="10"/>
  <c r="BL10" i="10" s="1"/>
  <c r="BK11" i="10"/>
  <c r="BK12" i="10"/>
  <c r="BK13" i="10"/>
  <c r="BK14" i="10"/>
  <c r="BK15" i="10"/>
  <c r="BK16" i="10"/>
  <c r="BK17" i="10"/>
  <c r="BK18" i="10"/>
  <c r="BK19" i="10"/>
  <c r="BK20" i="10"/>
  <c r="BK21" i="10"/>
  <c r="BK23" i="10"/>
  <c r="BK24" i="10"/>
  <c r="BK2" i="10"/>
  <c r="BJ32" i="10"/>
  <c r="BJ33" i="10"/>
  <c r="AL10" i="12"/>
  <c r="AL12" i="12"/>
  <c r="AL13" i="12"/>
  <c r="AL24" i="12"/>
  <c r="AL25" i="12"/>
  <c r="AL11" i="12"/>
  <c r="AL23" i="12"/>
  <c r="BF2" i="10"/>
  <c r="BH2" i="10" s="1"/>
  <c r="BI2" i="10" s="1"/>
  <c r="BF3" i="10"/>
  <c r="BH3" i="10" s="1"/>
  <c r="BI3" i="10" s="1"/>
  <c r="BF4" i="10"/>
  <c r="BH4" i="10" s="1"/>
  <c r="BI4" i="10" s="1"/>
  <c r="BF5" i="10"/>
  <c r="BH5" i="10" s="1"/>
  <c r="BI5" i="10" s="1"/>
  <c r="BH6" i="10"/>
  <c r="BI6" i="10" s="1"/>
  <c r="BF8" i="10"/>
  <c r="BH8" i="10" s="1"/>
  <c r="BI8" i="10" s="1"/>
  <c r="BF9" i="10"/>
  <c r="BH9" i="10" s="1"/>
  <c r="BI9" i="10" s="1"/>
  <c r="BF11" i="10"/>
  <c r="BH11" i="10" s="1"/>
  <c r="BI11" i="10" s="1"/>
  <c r="BF12" i="10"/>
  <c r="BH12" i="10" s="1"/>
  <c r="BI12" i="10" s="1"/>
  <c r="BF13" i="10"/>
  <c r="BH13" i="10" s="1"/>
  <c r="BI13" i="10" s="1"/>
  <c r="BF14" i="10"/>
  <c r="BH14" i="10" s="1"/>
  <c r="BI14" i="10" s="1"/>
  <c r="BF15" i="10"/>
  <c r="BH15" i="10" s="1"/>
  <c r="BI15" i="10" s="1"/>
  <c r="BF16" i="10"/>
  <c r="BH16" i="10" s="1"/>
  <c r="BI16" i="10" s="1"/>
  <c r="BF17" i="10"/>
  <c r="BH17" i="10" s="1"/>
  <c r="BI17" i="10" s="1"/>
  <c r="BF18" i="10"/>
  <c r="BH18" i="10" s="1"/>
  <c r="BI18" i="10" s="1"/>
  <c r="BF19" i="10"/>
  <c r="BH19" i="10" s="1"/>
  <c r="BI19" i="10" s="1"/>
  <c r="BF20" i="10"/>
  <c r="BH20" i="10" s="1"/>
  <c r="BI20" i="10" s="1"/>
  <c r="BF23" i="10"/>
  <c r="BH23" i="10" s="1"/>
  <c r="BI23" i="10" s="1"/>
  <c r="BF24" i="10"/>
  <c r="BH24" i="10" s="1"/>
  <c r="BI24" i="10" s="1"/>
  <c r="BF25" i="10"/>
  <c r="BH25" i="10" s="1"/>
  <c r="BI25" i="10" s="1"/>
  <c r="BF26" i="10"/>
  <c r="BH26" i="10" s="1"/>
  <c r="BI26" i="10" s="1"/>
  <c r="BF7" i="10"/>
  <c r="BH7" i="10" s="1"/>
  <c r="BI7" i="10" s="1"/>
  <c r="S3" i="16"/>
  <c r="S4" i="16"/>
  <c r="S6" i="16"/>
  <c r="S7" i="16"/>
  <c r="S8" i="16"/>
  <c r="S9" i="16"/>
  <c r="S10" i="16"/>
  <c r="S11" i="16"/>
  <c r="S12" i="16"/>
  <c r="S13" i="16"/>
  <c r="S14" i="16"/>
  <c r="S15" i="16"/>
  <c r="S16" i="16"/>
  <c r="S17" i="16"/>
  <c r="S18" i="16"/>
  <c r="S19" i="16"/>
  <c r="S20" i="16"/>
  <c r="S21" i="16"/>
  <c r="S22" i="16"/>
  <c r="S23" i="16"/>
  <c r="S24" i="16"/>
  <c r="S25" i="16"/>
  <c r="S26" i="16"/>
  <c r="S27" i="16"/>
  <c r="S28" i="16"/>
  <c r="S2" i="16"/>
  <c r="L3" i="16"/>
  <c r="L4" i="16"/>
  <c r="L5" i="16"/>
  <c r="L6" i="16"/>
  <c r="L7" i="16"/>
  <c r="L8" i="16"/>
  <c r="L9" i="16"/>
  <c r="L10" i="16"/>
  <c r="L11" i="16"/>
  <c r="L12" i="16"/>
  <c r="L13" i="16"/>
  <c r="L14" i="16"/>
  <c r="L15" i="16"/>
  <c r="L16" i="16"/>
  <c r="L17" i="16"/>
  <c r="L18" i="16"/>
  <c r="L19" i="16"/>
  <c r="L20" i="16"/>
  <c r="L21" i="16"/>
  <c r="L22" i="16"/>
  <c r="L23" i="16"/>
  <c r="L24" i="16"/>
  <c r="L25" i="16"/>
  <c r="L2" i="16"/>
  <c r="S3" i="14"/>
  <c r="S4" i="14"/>
  <c r="S5" i="14"/>
  <c r="S6" i="14"/>
  <c r="S7" i="14"/>
  <c r="S8" i="14"/>
  <c r="S9" i="14"/>
  <c r="S11" i="14"/>
  <c r="S12" i="14"/>
  <c r="S13" i="14"/>
  <c r="S14" i="14"/>
  <c r="S15" i="14"/>
  <c r="S16" i="14"/>
  <c r="S17" i="14"/>
  <c r="S18" i="14"/>
  <c r="S19" i="14"/>
  <c r="S20" i="14"/>
  <c r="S21" i="14"/>
  <c r="S23" i="14"/>
  <c r="S24" i="14"/>
  <c r="S25" i="14"/>
  <c r="S26" i="14"/>
  <c r="S2" i="14"/>
  <c r="L3" i="14"/>
  <c r="L4" i="14"/>
  <c r="L5" i="14"/>
  <c r="L6" i="14"/>
  <c r="L7" i="14"/>
  <c r="L8" i="14"/>
  <c r="L9" i="14"/>
  <c r="L11" i="14"/>
  <c r="L12" i="14"/>
  <c r="L13" i="14"/>
  <c r="L14" i="14"/>
  <c r="L15" i="14"/>
  <c r="L16" i="14"/>
  <c r="L17" i="14"/>
  <c r="L18" i="14"/>
  <c r="L19" i="14"/>
  <c r="L20" i="14"/>
  <c r="L21" i="14"/>
  <c r="L23" i="14"/>
  <c r="L24" i="14"/>
  <c r="L25" i="14"/>
  <c r="L2" i="14"/>
  <c r="AL3" i="12"/>
  <c r="AL4" i="12"/>
  <c r="AL5" i="12"/>
  <c r="AL6" i="12"/>
  <c r="AL7" i="12"/>
  <c r="AL8" i="12"/>
  <c r="AL9" i="12"/>
  <c r="AL14" i="12"/>
  <c r="AL15" i="12"/>
  <c r="AL16" i="12"/>
  <c r="AL17" i="12"/>
  <c r="AL18" i="12"/>
  <c r="AL19" i="12"/>
  <c r="AL20" i="12"/>
  <c r="AL21" i="12"/>
  <c r="AL22" i="12"/>
  <c r="AL26" i="12"/>
  <c r="AL2" i="12"/>
  <c r="BF21" i="10"/>
  <c r="BH21" i="10" s="1"/>
  <c r="BI21" i="10" s="1"/>
  <c r="AE25" i="8"/>
  <c r="AL2" i="8"/>
  <c r="M5" i="16" l="1"/>
  <c r="N5" i="16"/>
  <c r="O5" i="16"/>
  <c r="P5" i="16"/>
  <c r="BL2" i="10"/>
  <c r="BL24" i="10"/>
  <c r="BL23" i="10"/>
  <c r="BL21" i="10"/>
  <c r="BL13" i="10"/>
  <c r="BL12" i="10"/>
  <c r="BL11" i="10"/>
  <c r="BL9" i="10"/>
  <c r="BL18" i="10"/>
  <c r="BL17" i="10"/>
  <c r="BL16" i="10"/>
  <c r="BL4" i="10"/>
  <c r="BL15" i="10"/>
  <c r="BL3" i="10"/>
  <c r="BL26" i="10"/>
  <c r="BL14" i="10"/>
  <c r="BL25" i="10"/>
  <c r="BL20" i="10"/>
  <c r="BL8" i="10"/>
  <c r="BL19" i="10"/>
  <c r="BL7" i="10"/>
  <c r="BL6" i="10"/>
  <c r="BL5" i="10"/>
  <c r="AU14" i="10"/>
  <c r="AU15" i="10"/>
  <c r="AU16" i="10"/>
  <c r="AU17" i="10"/>
  <c r="Q5" i="16" l="1"/>
  <c r="S5" i="16"/>
  <c r="AW17" i="10"/>
  <c r="BJ17" i="10" s="1"/>
  <c r="AU2" i="10" l="1"/>
  <c r="AE3" i="12" l="1"/>
  <c r="AE4" i="12"/>
  <c r="AE5" i="12"/>
  <c r="AE6" i="12"/>
  <c r="AE7" i="12"/>
  <c r="AE8" i="12"/>
  <c r="AE9" i="12"/>
  <c r="AE10" i="12"/>
  <c r="AE11" i="12"/>
  <c r="AE12" i="12"/>
  <c r="AE13" i="12"/>
  <c r="AE14" i="12"/>
  <c r="AE15" i="12"/>
  <c r="AE16" i="12"/>
  <c r="AE17" i="12"/>
  <c r="AE18" i="12"/>
  <c r="AE19" i="12"/>
  <c r="AE20" i="12"/>
  <c r="AE21" i="12"/>
  <c r="AE23" i="12"/>
  <c r="AE24" i="12"/>
  <c r="AE2" i="12"/>
  <c r="V3" i="12"/>
  <c r="W3" i="12"/>
  <c r="X3" i="12"/>
  <c r="V4" i="12"/>
  <c r="W4" i="12"/>
  <c r="X4" i="12"/>
  <c r="V5" i="12"/>
  <c r="W5" i="12"/>
  <c r="X5" i="12"/>
  <c r="V6" i="12"/>
  <c r="W6" i="12"/>
  <c r="X6" i="12"/>
  <c r="V7" i="12"/>
  <c r="W7" i="12"/>
  <c r="X7" i="12"/>
  <c r="V8" i="12"/>
  <c r="W8" i="12"/>
  <c r="X8" i="12"/>
  <c r="V9" i="12"/>
  <c r="W9" i="12"/>
  <c r="X9" i="12"/>
  <c r="V10" i="12"/>
  <c r="W10" i="12"/>
  <c r="X10" i="12"/>
  <c r="V11" i="12"/>
  <c r="W11" i="12"/>
  <c r="X11" i="12"/>
  <c r="V12" i="12"/>
  <c r="W12" i="12"/>
  <c r="X12" i="12"/>
  <c r="V13" i="12"/>
  <c r="W13" i="12"/>
  <c r="X13" i="12"/>
  <c r="V14" i="12"/>
  <c r="W14" i="12"/>
  <c r="X14" i="12"/>
  <c r="V15" i="12"/>
  <c r="W15" i="12"/>
  <c r="X15" i="12"/>
  <c r="V16" i="12"/>
  <c r="W16" i="12"/>
  <c r="X16" i="12"/>
  <c r="V17" i="12"/>
  <c r="W17" i="12"/>
  <c r="X17" i="12"/>
  <c r="V18" i="12"/>
  <c r="W18" i="12"/>
  <c r="X18" i="12"/>
  <c r="V19" i="12"/>
  <c r="W19" i="12"/>
  <c r="X19" i="12"/>
  <c r="V20" i="12"/>
  <c r="W20" i="12"/>
  <c r="X20" i="12"/>
  <c r="V21" i="12"/>
  <c r="W21" i="12"/>
  <c r="X21" i="12"/>
  <c r="V22" i="12"/>
  <c r="W22" i="12"/>
  <c r="X22" i="12"/>
  <c r="X2" i="12"/>
  <c r="V2" i="12"/>
  <c r="Q24" i="12"/>
  <c r="P24" i="12"/>
  <c r="O24" i="12"/>
  <c r="Q23" i="12"/>
  <c r="P23" i="12"/>
  <c r="O23" i="12"/>
  <c r="R4" i="10"/>
  <c r="T4" i="10" s="1"/>
  <c r="U4" i="10" s="1"/>
  <c r="R5" i="10"/>
  <c r="T5" i="10" s="1"/>
  <c r="U5" i="10" s="1"/>
  <c r="R6" i="10"/>
  <c r="T6" i="10" s="1"/>
  <c r="U6" i="10" s="1"/>
  <c r="R7" i="10"/>
  <c r="T7" i="10" s="1"/>
  <c r="U7" i="10" s="1"/>
  <c r="R8" i="10"/>
  <c r="T8" i="10" s="1"/>
  <c r="U8" i="10" s="1"/>
  <c r="R9" i="10"/>
  <c r="T9" i="10" s="1"/>
  <c r="U9" i="10" s="1"/>
  <c r="R10" i="10"/>
  <c r="T10" i="10" s="1"/>
  <c r="U10" i="10" s="1"/>
  <c r="R11" i="10"/>
  <c r="T11" i="10" s="1"/>
  <c r="U11" i="10" s="1"/>
  <c r="R12" i="10"/>
  <c r="T12" i="10" s="1"/>
  <c r="U12" i="10" s="1"/>
  <c r="R13" i="10"/>
  <c r="T13" i="10" s="1"/>
  <c r="U13" i="10" s="1"/>
  <c r="R14" i="10"/>
  <c r="T14" i="10" s="1"/>
  <c r="U14" i="10" s="1"/>
  <c r="R15" i="10"/>
  <c r="T15" i="10" s="1"/>
  <c r="U15" i="10" s="1"/>
  <c r="R16" i="10"/>
  <c r="T16" i="10" s="1"/>
  <c r="U16" i="10" s="1"/>
  <c r="R17" i="10"/>
  <c r="T17" i="10" s="1"/>
  <c r="U17" i="10" s="1"/>
  <c r="R18" i="10"/>
  <c r="T18" i="10" s="1"/>
  <c r="U18" i="10" s="1"/>
  <c r="R19" i="10"/>
  <c r="T19" i="10" s="1"/>
  <c r="U19" i="10" s="1"/>
  <c r="R20" i="10"/>
  <c r="T20" i="10" s="1"/>
  <c r="U20" i="10" s="1"/>
  <c r="R21" i="10"/>
  <c r="T21" i="10" s="1"/>
  <c r="U21" i="10" s="1"/>
  <c r="R22" i="10"/>
  <c r="T22" i="10" s="1"/>
  <c r="U22" i="10" s="1"/>
  <c r="R23" i="10"/>
  <c r="T23" i="10" s="1"/>
  <c r="U23" i="10" s="1"/>
  <c r="R24" i="10"/>
  <c r="T24" i="10" s="1"/>
  <c r="U24" i="10" s="1"/>
  <c r="R25" i="10"/>
  <c r="T25" i="10" s="1"/>
  <c r="U25" i="10" s="1"/>
  <c r="R3" i="10"/>
  <c r="T3" i="10" s="1"/>
  <c r="U3" i="10" s="1"/>
  <c r="R2" i="10"/>
  <c r="AE5" i="10"/>
  <c r="AG5" i="10" s="1"/>
  <c r="AH5" i="10" s="1"/>
  <c r="AE6" i="10"/>
  <c r="AG6" i="10" s="1"/>
  <c r="AH6" i="10" s="1"/>
  <c r="AE7" i="10"/>
  <c r="AG7" i="10" s="1"/>
  <c r="AH7" i="10" s="1"/>
  <c r="AE8" i="10"/>
  <c r="AG8" i="10" s="1"/>
  <c r="AH8" i="10" s="1"/>
  <c r="AE9" i="10"/>
  <c r="AG9" i="10" s="1"/>
  <c r="AH9" i="10" s="1"/>
  <c r="AE10" i="10"/>
  <c r="AG10" i="10" s="1"/>
  <c r="AH10" i="10" s="1"/>
  <c r="AE11" i="10"/>
  <c r="AG11" i="10" s="1"/>
  <c r="AH11" i="10" s="1"/>
  <c r="AE12" i="10"/>
  <c r="AG12" i="10" s="1"/>
  <c r="AH12" i="10" s="1"/>
  <c r="AE13" i="10"/>
  <c r="AG13" i="10" s="1"/>
  <c r="AH13" i="10" s="1"/>
  <c r="AE14" i="10"/>
  <c r="AG14" i="10" s="1"/>
  <c r="AH14" i="10" s="1"/>
  <c r="AE15" i="10"/>
  <c r="AG15" i="10" s="1"/>
  <c r="AH15" i="10" s="1"/>
  <c r="AE16" i="10"/>
  <c r="AG16" i="10" s="1"/>
  <c r="AH16" i="10" s="1"/>
  <c r="AE17" i="10"/>
  <c r="AG17" i="10" s="1"/>
  <c r="AH17" i="10" s="1"/>
  <c r="AE18" i="10"/>
  <c r="AG18" i="10" s="1"/>
  <c r="AH18" i="10" s="1"/>
  <c r="AE19" i="10"/>
  <c r="AG19" i="10" s="1"/>
  <c r="AH19" i="10" s="1"/>
  <c r="AE20" i="10"/>
  <c r="AG20" i="10" s="1"/>
  <c r="AH20" i="10" s="1"/>
  <c r="AE21" i="10"/>
  <c r="AG21" i="10" s="1"/>
  <c r="AH21" i="10" s="1"/>
  <c r="AE22" i="10"/>
  <c r="AG22" i="10" s="1"/>
  <c r="AH22" i="10" s="1"/>
  <c r="AE23" i="10"/>
  <c r="AG23" i="10" s="1"/>
  <c r="AH23" i="10" s="1"/>
  <c r="AE24" i="10"/>
  <c r="AG24" i="10" s="1"/>
  <c r="AH24" i="10" s="1"/>
  <c r="AE25" i="10"/>
  <c r="AG25" i="10" s="1"/>
  <c r="AH25" i="10" s="1"/>
  <c r="AE4" i="10"/>
  <c r="AG4" i="10" s="1"/>
  <c r="AH4" i="10" s="1"/>
  <c r="AE3" i="10"/>
  <c r="AG3" i="10" s="1"/>
  <c r="AH3" i="10" s="1"/>
  <c r="AE2" i="10"/>
  <c r="AG2" i="10" s="1"/>
  <c r="AH2" i="10" s="1"/>
  <c r="AU10" i="10"/>
  <c r="AW10" i="10" s="1"/>
  <c r="AU22" i="10"/>
  <c r="AW22" i="10" s="1"/>
  <c r="BJ22" i="10" s="1"/>
  <c r="AU11" i="10"/>
  <c r="AW11" i="10" s="1"/>
  <c r="AU12" i="10"/>
  <c r="AW12" i="10" s="1"/>
  <c r="AU13" i="10"/>
  <c r="AW13" i="10" s="1"/>
  <c r="AW14" i="10"/>
  <c r="AX17" i="10"/>
  <c r="AU18" i="10"/>
  <c r="AW18" i="10" s="1"/>
  <c r="AU19" i="10"/>
  <c r="AW19" i="10" s="1"/>
  <c r="AU20" i="10"/>
  <c r="AW20" i="10" s="1"/>
  <c r="AU21" i="10"/>
  <c r="AU23" i="10"/>
  <c r="AW23" i="10" s="1"/>
  <c r="AU24" i="10"/>
  <c r="AW24" i="10" s="1"/>
  <c r="AU25" i="10"/>
  <c r="AW25" i="10" s="1"/>
  <c r="AU26" i="10"/>
  <c r="AW26" i="10" s="1"/>
  <c r="AU27" i="10"/>
  <c r="AW27" i="10" s="1"/>
  <c r="AU28" i="10"/>
  <c r="AW28" i="10" s="1"/>
  <c r="AU29" i="10"/>
  <c r="AW29" i="10" s="1"/>
  <c r="AU30" i="10"/>
  <c r="AW30" i="10" s="1"/>
  <c r="AU31" i="10"/>
  <c r="AW31" i="10" s="1"/>
  <c r="AU3" i="10"/>
  <c r="AW3" i="10" s="1"/>
  <c r="AU4" i="10"/>
  <c r="AW4" i="10" s="1"/>
  <c r="AU5" i="10"/>
  <c r="AW5" i="10" s="1"/>
  <c r="AU6" i="10"/>
  <c r="AW6" i="10" s="1"/>
  <c r="AU7" i="10"/>
  <c r="AW7" i="10" s="1"/>
  <c r="AU8" i="10"/>
  <c r="AW8" i="10" s="1"/>
  <c r="AU9" i="10"/>
  <c r="AW9" i="10" s="1"/>
  <c r="AW2" i="10"/>
  <c r="AJ25" i="10"/>
  <c r="AL25" i="10" s="1"/>
  <c r="AM25" i="10" s="1"/>
  <c r="AJ24" i="10"/>
  <c r="AL24" i="10" s="1"/>
  <c r="AM24" i="10" s="1"/>
  <c r="AJ23" i="10"/>
  <c r="AL23" i="10" s="1"/>
  <c r="AM23" i="10" s="1"/>
  <c r="AJ22" i="10"/>
  <c r="AL22" i="10" s="1"/>
  <c r="AM22" i="10" s="1"/>
  <c r="AJ21" i="10"/>
  <c r="AL21" i="10" s="1"/>
  <c r="AM21" i="10" s="1"/>
  <c r="AJ20" i="10"/>
  <c r="AL20" i="10" s="1"/>
  <c r="AM20" i="10" s="1"/>
  <c r="AJ19" i="10"/>
  <c r="AL19" i="10" s="1"/>
  <c r="AM19" i="10" s="1"/>
  <c r="AJ18" i="10"/>
  <c r="AJ17" i="10"/>
  <c r="AL17" i="10" s="1"/>
  <c r="AM17" i="10" s="1"/>
  <c r="AJ16" i="10"/>
  <c r="AL16" i="10" s="1"/>
  <c r="AM16" i="10" s="1"/>
  <c r="AJ15" i="10"/>
  <c r="AL15" i="10" s="1"/>
  <c r="AM15" i="10" s="1"/>
  <c r="AJ14" i="10"/>
  <c r="AL14" i="10" s="1"/>
  <c r="AM14" i="10" s="1"/>
  <c r="AJ13" i="10"/>
  <c r="AL13" i="10" s="1"/>
  <c r="AM13" i="10" s="1"/>
  <c r="AJ12" i="10"/>
  <c r="AL12" i="10" s="1"/>
  <c r="AM12" i="10" s="1"/>
  <c r="AJ11" i="10"/>
  <c r="AL11" i="10" s="1"/>
  <c r="AM11" i="10" s="1"/>
  <c r="AJ10" i="10"/>
  <c r="AL10" i="10" s="1"/>
  <c r="AM10" i="10" s="1"/>
  <c r="AJ9" i="10"/>
  <c r="AL9" i="10" s="1"/>
  <c r="AM9" i="10" s="1"/>
  <c r="AJ8" i="10"/>
  <c r="AL8" i="10" s="1"/>
  <c r="AM8" i="10" s="1"/>
  <c r="AJ7" i="10"/>
  <c r="AL7" i="10" s="1"/>
  <c r="AM7" i="10" s="1"/>
  <c r="AJ6" i="10"/>
  <c r="AL6" i="10" s="1"/>
  <c r="AM6" i="10" s="1"/>
  <c r="AJ5" i="10"/>
  <c r="AL5" i="10" s="1"/>
  <c r="AM5" i="10" s="1"/>
  <c r="AJ4" i="10"/>
  <c r="AL4" i="10" s="1"/>
  <c r="AM4" i="10" s="1"/>
  <c r="AJ3" i="10"/>
  <c r="AL3" i="10" s="1"/>
  <c r="AM3" i="10" s="1"/>
  <c r="AJ2" i="10"/>
  <c r="AL2" i="10" s="1"/>
  <c r="AM2" i="10" s="1"/>
  <c r="AX2" i="10" l="1"/>
  <c r="BJ2" i="10"/>
  <c r="AX27" i="10"/>
  <c r="BJ27" i="10"/>
  <c r="AX14" i="10"/>
  <c r="BJ14" i="10"/>
  <c r="AX9" i="10"/>
  <c r="BJ9" i="10"/>
  <c r="AX26" i="10"/>
  <c r="BJ26" i="10"/>
  <c r="AX13" i="10"/>
  <c r="BJ13" i="10"/>
  <c r="AX6" i="10"/>
  <c r="BJ6" i="10"/>
  <c r="AX25" i="10"/>
  <c r="BJ25" i="10"/>
  <c r="AX22" i="10"/>
  <c r="AX7" i="10"/>
  <c r="BJ7" i="10"/>
  <c r="AX11" i="10"/>
  <c r="BJ11" i="10"/>
  <c r="AX5" i="10"/>
  <c r="BJ5" i="10"/>
  <c r="AX24" i="10"/>
  <c r="BJ24" i="10"/>
  <c r="AX10" i="10"/>
  <c r="BJ10" i="10"/>
  <c r="AX3" i="10"/>
  <c r="BJ3" i="10"/>
  <c r="AX8" i="10"/>
  <c r="BJ8" i="10"/>
  <c r="AX12" i="10"/>
  <c r="BJ12" i="10"/>
  <c r="AX4" i="10"/>
  <c r="BJ4" i="10"/>
  <c r="AX23" i="10"/>
  <c r="BJ23" i="10"/>
  <c r="AX31" i="10"/>
  <c r="BJ31" i="10"/>
  <c r="AX20" i="10"/>
  <c r="BJ20" i="10"/>
  <c r="AX30" i="10"/>
  <c r="BJ30" i="10"/>
  <c r="AX19" i="10"/>
  <c r="BJ19" i="10"/>
  <c r="AX29" i="10"/>
  <c r="BJ29" i="10"/>
  <c r="AX18" i="10"/>
  <c r="BJ18" i="10"/>
  <c r="AX28" i="10"/>
  <c r="BJ28" i="10"/>
  <c r="V23" i="12"/>
  <c r="V24" i="12"/>
  <c r="X23" i="12"/>
  <c r="X24" i="12"/>
  <c r="AW16" i="10"/>
  <c r="AW15" i="10"/>
  <c r="AW21" i="10"/>
  <c r="AL18" i="10"/>
  <c r="AM18" i="10" s="1"/>
  <c r="AX21" i="10" l="1"/>
  <c r="BJ21" i="10"/>
  <c r="AX15" i="10"/>
  <c r="BJ15" i="10"/>
  <c r="AX16" i="10"/>
  <c r="BJ16" i="10"/>
  <c r="AE7" i="8"/>
  <c r="AE8" i="8"/>
  <c r="AE9" i="8"/>
  <c r="V3" i="8"/>
  <c r="W3" i="8"/>
  <c r="X3" i="8"/>
  <c r="V4" i="8"/>
  <c r="W4" i="8"/>
  <c r="X4" i="8"/>
  <c r="V5" i="8"/>
  <c r="W5" i="8"/>
  <c r="X5" i="8"/>
  <c r="V6" i="8"/>
  <c r="W6" i="8"/>
  <c r="X6" i="8"/>
  <c r="V7" i="8"/>
  <c r="W7" i="8"/>
  <c r="X7" i="8"/>
  <c r="V8" i="8"/>
  <c r="W8" i="8"/>
  <c r="X8" i="8"/>
  <c r="V9" i="8"/>
  <c r="W9" i="8"/>
  <c r="X9" i="8"/>
  <c r="V10" i="8"/>
  <c r="W10" i="8"/>
  <c r="X10" i="8"/>
  <c r="V11" i="8"/>
  <c r="W11" i="8"/>
  <c r="X11" i="8"/>
  <c r="V12" i="8"/>
  <c r="W12" i="8"/>
  <c r="X12" i="8"/>
  <c r="V13" i="8"/>
  <c r="W13" i="8"/>
  <c r="X13" i="8"/>
  <c r="V14" i="8"/>
  <c r="W14" i="8"/>
  <c r="X14" i="8"/>
  <c r="V15" i="8"/>
  <c r="W15" i="8"/>
  <c r="X15" i="8"/>
  <c r="V16" i="8"/>
  <c r="W16" i="8"/>
  <c r="X16" i="8"/>
  <c r="V17" i="8"/>
  <c r="W17" i="8"/>
  <c r="X17" i="8"/>
  <c r="V18" i="8"/>
  <c r="W18" i="8"/>
  <c r="X18" i="8"/>
  <c r="AE3" i="8" l="1"/>
  <c r="AE4" i="8"/>
  <c r="AE5" i="8"/>
  <c r="AE6" i="8"/>
  <c r="AE11" i="8"/>
  <c r="AE12" i="8"/>
  <c r="AE13" i="8"/>
  <c r="AE14" i="8"/>
  <c r="AE15" i="8"/>
  <c r="AE16" i="8"/>
  <c r="AE17" i="8"/>
  <c r="AE18" i="8"/>
  <c r="AE19" i="8"/>
  <c r="AE20" i="8"/>
  <c r="AE21" i="8"/>
  <c r="AE23" i="8"/>
  <c r="AE24" i="8"/>
  <c r="AE2" i="8"/>
  <c r="P37" i="8"/>
  <c r="P38" i="8" s="1"/>
  <c r="V34" i="8"/>
  <c r="V35" i="8" s="1"/>
  <c r="X25" i="8"/>
  <c r="W25" i="8"/>
  <c r="V25" i="8"/>
  <c r="X24" i="8"/>
  <c r="W24" i="8"/>
  <c r="V24" i="8"/>
  <c r="X23" i="8"/>
  <c r="W23" i="8"/>
  <c r="V23" i="8"/>
  <c r="X22" i="8"/>
  <c r="W22" i="8"/>
  <c r="V22" i="8"/>
  <c r="X21" i="8"/>
  <c r="W21" i="8"/>
  <c r="V21" i="8"/>
  <c r="X20" i="8"/>
  <c r="W20" i="8"/>
  <c r="V20" i="8"/>
  <c r="X19" i="8"/>
  <c r="W19" i="8"/>
  <c r="V19" i="8"/>
  <c r="X2" i="8"/>
  <c r="V2"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Salian, Bharat</author>
  </authors>
  <commentList>
    <comment ref="AH26" authorId="0" shapeId="0" xr:uid="{D5FBA350-C80B-4A1D-8AFF-164F8BB17842}">
      <text>
        <r>
          <rPr>
            <b/>
            <sz val="9"/>
            <color indexed="81"/>
            <rFont val="Tahoma"/>
            <charset val="1"/>
          </rPr>
          <t>Salian, Bharat:</t>
        </r>
        <r>
          <rPr>
            <sz val="9"/>
            <color indexed="81"/>
            <rFont val="Tahoma"/>
            <charset val="1"/>
          </rPr>
          <t xml:space="preserve">
Earlier it was 100%</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<sst xmlns="http://schemas.openxmlformats.org/spreadsheetml/2006/main" count="1070" uniqueCount="307">
  <si>
    <t>SL No</t>
  </si>
  <si>
    <t>Domain</t>
  </si>
  <si>
    <t>Workstream</t>
  </si>
  <si>
    <t>Application/Area</t>
  </si>
  <si>
    <t>IXT</t>
  </si>
  <si>
    <t xml:space="preserve">CEUI </t>
  </si>
  <si>
    <t>NA</t>
  </si>
  <si>
    <t>Assisted Tools</t>
  </si>
  <si>
    <t>CEUI</t>
  </si>
  <si>
    <t>Platform</t>
  </si>
  <si>
    <t>Flow Engine (prometheus)</t>
  </si>
  <si>
    <t>Field Experience</t>
  </si>
  <si>
    <t>Flow Engine (optimus)</t>
  </si>
  <si>
    <t>XRM</t>
  </si>
  <si>
    <t>Celestial (Titan)</t>
  </si>
  <si>
    <t>BXT</t>
  </si>
  <si>
    <t>Celestial (Universal)</t>
  </si>
  <si>
    <t>Account Services</t>
  </si>
  <si>
    <t>Right Answers</t>
  </si>
  <si>
    <t>XM360 CBM/Phoenix</t>
  </si>
  <si>
    <t>XM360 Supersonix</t>
  </si>
  <si>
    <t>XM Velocity 1/Xceeders</t>
  </si>
  <si>
    <t>XM Velocity 2/Xplorers</t>
  </si>
  <si>
    <t xml:space="preserve">Field experience </t>
  </si>
  <si>
    <t>NWT - UI</t>
  </si>
  <si>
    <t>NWT-FSM</t>
  </si>
  <si>
    <t>NWT - PSNB</t>
  </si>
  <si>
    <t>NWT - Core</t>
  </si>
  <si>
    <t>Agile Portfolio Mgmt</t>
  </si>
  <si>
    <t xml:space="preserve">Payment &amp; Billing  </t>
  </si>
  <si>
    <t>XRM - VOIXM Scrum</t>
  </si>
  <si>
    <t>XRM - Video Scrum</t>
  </si>
  <si>
    <t>XRM - HSD Scrum</t>
  </si>
  <si>
    <t>DevOps</t>
  </si>
  <si>
    <t>Account Services - BRE</t>
  </si>
  <si>
    <t>Account Services - XM PDF</t>
  </si>
  <si>
    <t>Account Services - NOW</t>
  </si>
  <si>
    <t>Developer/QA Count</t>
  </si>
  <si>
    <t>Total Story points Delivered across sprints</t>
  </si>
  <si>
    <t># of Sprints</t>
  </si>
  <si>
    <t>Avg USP / SP</t>
  </si>
  <si>
    <t>Avg USP / Month</t>
  </si>
  <si>
    <t>Xumo</t>
  </si>
  <si>
    <t>No</t>
  </si>
  <si>
    <t>(All)</t>
  </si>
  <si>
    <t>Row Labels</t>
  </si>
  <si>
    <t>Grand Total</t>
  </si>
  <si>
    <t>Sp 1 Scrum Productivity in SP (Velocity by member)</t>
  </si>
  <si>
    <t>Sp 2 Scrum Productivity in SP (Velocity by member)</t>
  </si>
  <si>
    <t>Sp 3 Scrum Productivity in SP (Velocity by member)</t>
  </si>
  <si>
    <t>Sp 4 Scrum Productivity in SP (Velocity by member)</t>
  </si>
  <si>
    <t>Sp 5 Scrum Productivity in SP (Velocity by member)</t>
  </si>
  <si>
    <t>Story Points accepted in Sp 1</t>
  </si>
  <si>
    <t>Story Points accepted in Sp 2 to date</t>
  </si>
  <si>
    <t>Story Points accepted in Sp 3</t>
  </si>
  <si>
    <t>Story Points accepted in Sp 4 to date</t>
  </si>
  <si>
    <t>Story Points accepted in Sp 5</t>
  </si>
  <si>
    <t>Sprint 1 Predictability
 (# SP accepted in sp 1 / # SP planned into sprint 1)</t>
  </si>
  <si>
    <t>Sprint 3 Predictability
 (# SP accepted in sp 3 / # SP planned into sprint 3)</t>
  </si>
  <si>
    <t>Sprint 5 Predictability
 (# SP accepted in sp 5/ # SP planned into sprint 5)</t>
  </si>
  <si>
    <t>Sprint 2 Predictability
 (# SP accepted in sp 2 / # SP planned into sprint 2)</t>
  </si>
  <si>
    <t>Sprint 4 Predictability
 (# SP accepted in sp 4 / # SP planned into sprint 4)</t>
  </si>
  <si>
    <t>QBR</t>
  </si>
  <si>
    <t>XM360 Recovery/Reliability</t>
  </si>
  <si>
    <t>Einstein 360</t>
  </si>
  <si>
    <t>Sp 12 Scrum Productivity in SP (Velocity by member)</t>
  </si>
  <si>
    <t>Sp 13 Scrum Productivity in SP (Velocity by member)</t>
  </si>
  <si>
    <t>Sp 14 Scrum Productivity in SP (Velocity by member)</t>
  </si>
  <si>
    <t>Sp 15 Scrum Productivity in SP (Velocity by member)</t>
  </si>
  <si>
    <t>Sp 16 Scrum Productivity in SP (Velocity by member)</t>
  </si>
  <si>
    <t>Sp 17 Scrum Productivity in SP (Velocity by member)</t>
  </si>
  <si>
    <t>Sp 18 Scrum Productivity in SP (Velocity by member)</t>
  </si>
  <si>
    <t>Sp 19 Scrum Productivity in SP (Velocity by member)</t>
  </si>
  <si>
    <t>Sp 20 Scrum Productivity in SP (Velocity by member)</t>
  </si>
  <si>
    <t>Sp 21 Scrum Productivity in SP (Velocity by member)</t>
  </si>
  <si>
    <t>Sp 22 Scrum Productivity in SP (Velocity by member)</t>
  </si>
  <si>
    <t>Sp 23 Scrum Productivity in SP (Velocity by member)</t>
  </si>
  <si>
    <t>Sp 26 Scrum Productivity in SP (Velocity by member)</t>
  </si>
  <si>
    <t>Sp 6 Scrum Productivity in SP (Velocity by member)</t>
  </si>
  <si>
    <t>Sp 24 Scrum Productivity in SP (Velocity by member)</t>
  </si>
  <si>
    <t>Sp 25 Scrum Productivity in SP (Velocity by member)</t>
  </si>
  <si>
    <t>Avg Of Q3 Sprints(SP 14 to 19)</t>
  </si>
  <si>
    <t>Avg Of Q4 Sprints(SP 20 to 26)</t>
  </si>
  <si>
    <t>Scrum Master</t>
  </si>
  <si>
    <t>DBA Scrum</t>
  </si>
  <si>
    <t>Avg  of 15 SP (From 12 to 26)</t>
  </si>
  <si>
    <t>Avg Of Q1 Sprints(SP 1 to 6)</t>
  </si>
  <si>
    <t>Story Points accepted in Sp 12</t>
  </si>
  <si>
    <t>Story Points accepted in Sp 13 to date</t>
  </si>
  <si>
    <t>Story Points accepted in Sp 14</t>
  </si>
  <si>
    <t>Story Points accepted in Sp 15 to date</t>
  </si>
  <si>
    <t>Story Points accepted in Sp 16</t>
  </si>
  <si>
    <t>Story Points accepted in Sp 17 to date</t>
  </si>
  <si>
    <t>Story Points accepted in Sp 18</t>
  </si>
  <si>
    <t>Story Points accepted in Sp 19 to date</t>
  </si>
  <si>
    <t>Story Points accepted in Sp 20</t>
  </si>
  <si>
    <t>Story Points accepted in Sp 22</t>
  </si>
  <si>
    <t>Story Points accepted in Sp 23</t>
  </si>
  <si>
    <t>Story Points accepted in Sp 24</t>
  </si>
  <si>
    <t>Story Points accepted in Sp 25</t>
  </si>
  <si>
    <t>Story Points accepted in Sp 26</t>
  </si>
  <si>
    <t>Developer/QA Count in Q1</t>
  </si>
  <si>
    <t>Story Points accepted in Sp 6</t>
  </si>
  <si>
    <t># of Sprints in Q1</t>
  </si>
  <si>
    <t>Total Story points Delivered across sprints in Q1</t>
  </si>
  <si>
    <t>Developer/QA Count in Q4 (SP 20 to 26)</t>
  </si>
  <si>
    <t>Total Story points Delivered across sprints in Q4(SP 20 to 26)</t>
  </si>
  <si>
    <t># of Sprints in Q4 (SP 20 to 26)</t>
  </si>
  <si>
    <t>Avg USP / SP in Q4 (SP 20 to 26)</t>
  </si>
  <si>
    <t>Avg USP / Month In Q4(SP 20 to 26)</t>
  </si>
  <si>
    <t>Avg USP / SP in Q3 (SP 14 to 19)</t>
  </si>
  <si>
    <t>Total Story points Delivered across sprints in Q3(SP 14 to 19)</t>
  </si>
  <si>
    <t># of Sprints in Q3 (SP 14 to 19)</t>
  </si>
  <si>
    <t>Avg USP / Month In Q3(SP 14 to 19)</t>
  </si>
  <si>
    <t>Developer/QA Count in Q3 (SP 14 to 19)</t>
  </si>
  <si>
    <t>Active App</t>
  </si>
  <si>
    <t>Yes</t>
  </si>
  <si>
    <t>Sprint 12 Predictability
 (# SP accepted in sp 12 / # SP planned into sprint 12)</t>
  </si>
  <si>
    <t>Sprint 13 Predictability
 (# SP accepted in sp 13 at end of each sprint / # SP planned into sprint 13)</t>
  </si>
  <si>
    <t>Sprint 14 Predictability
 (# SP accepted in sp 14 / # SP planned into sprint 14)</t>
  </si>
  <si>
    <t>Sprint 15 Predictability
 (# SP accepted in sp 15 at end of each sprint / # SP planned into sprint 15)</t>
  </si>
  <si>
    <t>Sprint 16 Predictability
 (# SP accepted in sp 16 / # SP planned into sprint 16)</t>
  </si>
  <si>
    <t>Sprint 17 Predictability
 (# SP accepted in sp 17 at end of each sprint / # SP planned into sprint 17)</t>
  </si>
  <si>
    <t>Sprint 18 Predictability
 (# SP accepted in sp 18 / # SP planned into sprint 18)</t>
  </si>
  <si>
    <t>Sprint 19 Predictability
 (# SP accepted in sp 19 at end of each sprint / # SP planned into sprint 19)</t>
  </si>
  <si>
    <t>Sprint 20 Predictability
 (# SP accepted in sp 20 / # SP planned into sprint 20)</t>
  </si>
  <si>
    <t>Sprint 21 Predictability
 (# SP accepted in sp 21 at end of each sprint / # SP planned into sprint 21)</t>
  </si>
  <si>
    <t>Sprint 22 Predictability
 (# SP accepted in sp 22 / # SP planned into sprint 22)</t>
  </si>
  <si>
    <t>Sprint 23 Predictability
 (# SP accepted in sp 23 at end of each sprint / # SP planned into sprint 23)</t>
  </si>
  <si>
    <t>Sprint 24 Predictability
 (# SP accepted in sp 24 at end of each sprint / # SP planned into sprint 24)</t>
  </si>
  <si>
    <t>Sprint 25 Predictability
 (# SP accepted in sp 25 at end of each sprint / # SP planned into sprint 25)</t>
  </si>
  <si>
    <t>Sprint 26 Predictability
 (# SP accepted in sp 26 at end of each sprint / # SP planned into sprint 26)</t>
  </si>
  <si>
    <t>Avg Predictablity In Q3(SP 14 to 19)</t>
  </si>
  <si>
    <t>Avg Predictablity In Q4(SP 20 to 26)</t>
  </si>
  <si>
    <t>Avg Predictablity In 2025(SP 12 to 26)</t>
  </si>
  <si>
    <t>Avg Predictablity In Q1(SP 1 to 6)</t>
  </si>
  <si>
    <t>Sprint 6 Predictability
 (# SP accepted in sp 6/ # SP planned into sprint 5)</t>
  </si>
  <si>
    <t>Q1 (SP 1 to 6)</t>
  </si>
  <si>
    <t xml:space="preserve">Story Points accepted in Sp 21 </t>
  </si>
  <si>
    <t>CPOS</t>
  </si>
  <si>
    <t>Sp 7 Scrum Productivity in SP (Velocity by member)</t>
  </si>
  <si>
    <t>Sp 8 Scrum Productivity in SP (Velocity by member)</t>
  </si>
  <si>
    <t>Sp 9 Scrum Productivity in SP (Velocity by member)</t>
  </si>
  <si>
    <t>Sp 11 Scrum Productivity in SP (Velocity by member)</t>
  </si>
  <si>
    <t>NWT-FSM 2 (NOVA)</t>
  </si>
  <si>
    <t>Avg Of Q2 Sprints(SP 7 to 12)</t>
  </si>
  <si>
    <t>Q2 (SP 7 to 12)</t>
  </si>
  <si>
    <t>Q3 (SP 14 to 19)</t>
  </si>
  <si>
    <t>Q4 (SP 20 to 26)</t>
  </si>
  <si>
    <t>Story Points accepted in 7 to date</t>
  </si>
  <si>
    <t>Story Points accepted in 8 to date</t>
  </si>
  <si>
    <t>Story Points accepted in 9 to date</t>
  </si>
  <si>
    <t>Story Points accepted in 10 to date</t>
  </si>
  <si>
    <t>Story Points accepted in 11 to date</t>
  </si>
  <si>
    <t>Story Points accepted in 12 to date</t>
  </si>
  <si>
    <t>Developer/QA Count in Q2</t>
  </si>
  <si>
    <t>Total Story points Delivered across sprints in Q2</t>
  </si>
  <si>
    <t># of Sprints in Q2</t>
  </si>
  <si>
    <t>Sprint 7 Predictability
 (# SP accepted in sp 7 / # SP planned into sprint 7)</t>
  </si>
  <si>
    <t>Sprint 8 Predictability
 (# SP accepted in sp 8 / # SP planned into sprint 8)</t>
  </si>
  <si>
    <t>Sprint 9 Predictability
 (# SP accepted in sp 9 / # SP planned into sprint 9)</t>
  </si>
  <si>
    <t>Sprint 10 Predictability
 (# SP accepted in sp 10 / # SP planned into sprint 10)</t>
  </si>
  <si>
    <t>Sprint 11 Predictability
 (# SP accepted in sp 11 / # SP planned into sprint 11)</t>
  </si>
  <si>
    <t>Avg Predictablity In Q2(SP 7 to 12)</t>
  </si>
  <si>
    <t>Sp 1 PRD Defect Density % (# defect identified post- production within 23 days of release in H1 Jan / total story points delivered or accepted in sp 1)</t>
  </si>
  <si>
    <t>Sp 2 PRD Defect Density % (# defect identified post- production of release  within 23 days of release in H2 Jan / total story points delivered or accepted in sp 2)</t>
  </si>
  <si>
    <t>Sp 3 PRD Defect Density % (# defect identified post- production within 23 days of release in H1 Feb / total story points delivered or accepted in sp 3)</t>
  </si>
  <si>
    <t>Sp 4 PRD Defect Density % (# defect identified post- production of release  within 23 days of release in H2 FEb / total story points delivered or accepted in sp 4)</t>
  </si>
  <si>
    <t>Sp 6 PRD Defect Density % (# defect identified post- production of release  within 23 days of release in H2 Mar / total story points delivered or accepted in sp 6)</t>
  </si>
  <si>
    <t>Sp 5 PRD Defect Density % (# defect identified post- production within 23 days of release in H1 Mar / total story points delivered or accepted in sp 5)</t>
  </si>
  <si>
    <t>Sp 9 PRD Defect Density % (# defect identified post- production within 23 days of release in H1 May / total story points delivered or accepted in sp 9)</t>
  </si>
  <si>
    <t>Sp 10 PRD Defect Density % (# defect identified post- production of release  within 23 days of release in H2 May / total story points delivered or accepted in sp 10)</t>
  </si>
  <si>
    <t>Sp 7 PRD Defect Density % (# defect identified post- production within 23 days of release in H1 Apr / total story points delivered or accepted in sp 7)</t>
  </si>
  <si>
    <t>Sp 8 PRD Defect Density % (# defect identified post- production of release  within 23 days of release in H2 Apr / total story points delivered or accepted in sp 8)</t>
  </si>
  <si>
    <t>Avg PRD Defect Density %  Q2 (SP 7 to 12)</t>
  </si>
  <si>
    <t>Avg PRD Defect Density %  Q1 (SP 1 to 6)</t>
  </si>
  <si>
    <t>Count of all Defects for Sp 1</t>
  </si>
  <si>
    <t>Count of all Defects for Sp 2</t>
  </si>
  <si>
    <t>Count of all Defects for Sp 3</t>
  </si>
  <si>
    <t>Count of all Defects for Sp 4</t>
  </si>
  <si>
    <t>Count of all Defects for Sp 5</t>
  </si>
  <si>
    <t>Count of all Defects for Sp 6</t>
  </si>
  <si>
    <t>Avg Count of all Defects for Q1 (SP 1 to 6)</t>
  </si>
  <si>
    <t>Count of all Defects for Sp 7</t>
  </si>
  <si>
    <t>Count of all Defects for Sp 8</t>
  </si>
  <si>
    <t>Avg Count of all Defects for Q2 (SP 7 to 12)</t>
  </si>
  <si>
    <t>Count of all Defects for Sp 9</t>
  </si>
  <si>
    <t>Count of all Defects for Sp 10</t>
  </si>
  <si>
    <t>Count of all Defects for Sp 11</t>
  </si>
  <si>
    <t>Count of all Defects for Sp 12</t>
  </si>
  <si>
    <t>Q2(SP 7 to 12)</t>
  </si>
  <si>
    <t>Average of Avg PRD Defect Density %  Q1 (SP 1 to 6)</t>
  </si>
  <si>
    <t>Average of Avg PRD Defect Density %  Q2 (SP 7 to 12)</t>
  </si>
  <si>
    <t>RAG (Q1 vs Q2 Δ)</t>
  </si>
  <si>
    <t>AVG SP in Q1 with 4 SP</t>
  </si>
  <si>
    <t>RAG Q1(4SP) vs Q2 Δ</t>
  </si>
  <si>
    <t>Sp 10 Scrum Productivity in SP (Velocity by member)</t>
  </si>
  <si>
    <t>-</t>
  </si>
  <si>
    <t>Avg USP / SP in Q1  (SP 1 to 6)</t>
  </si>
  <si>
    <t>Avg USP / Month In Q1 (SP 1 to 6)</t>
  </si>
  <si>
    <t>26Q2 Vs 26Q1</t>
  </si>
  <si>
    <t>26Q2 Vs 25Q4</t>
  </si>
  <si>
    <t>USP / SP in Q4 (SP 20 to 26)</t>
  </si>
  <si>
    <t>USP / SP in Q1  (SP 1 to 6)</t>
  </si>
  <si>
    <t>Sprint 12 Predictability
 (# SP accepted in sp 12 at end of each sprint / # SP planned into sprint 12 )</t>
  </si>
  <si>
    <t>Sp 11 PRD Defect Density % (# defect identified post- production within 23 days of release in H1 May / total story points delivered or accepted in sp 11)</t>
  </si>
  <si>
    <t>Sp 12 PRD Defect Density % (# defect identified post- production of release  within 23 days of release in H2 May / total story points delivered or accepted in sp 12)</t>
  </si>
  <si>
    <t>Month</t>
  </si>
  <si>
    <t>Billable FTE</t>
  </si>
  <si>
    <t>FTE contributing to SP</t>
  </si>
  <si>
    <t>Velocity</t>
  </si>
  <si>
    <t>Productivity</t>
  </si>
  <si>
    <t>Oct’25</t>
  </si>
  <si>
    <t>Nov’25</t>
  </si>
  <si>
    <t>Dec’25</t>
  </si>
  <si>
    <t>Jan’26</t>
  </si>
  <si>
    <t>Feb’26</t>
  </si>
  <si>
    <t>Mar’26</t>
  </si>
  <si>
    <t>Apr’26</t>
  </si>
  <si>
    <t>May’26</t>
  </si>
  <si>
    <t>Jun’26</t>
  </si>
  <si>
    <t>Productivity divisor</t>
  </si>
  <si>
    <t>Avg USP / SP in Q2 (SP 7 to 12)</t>
  </si>
  <si>
    <t>Avg USP / Month In Q2(SP 7 to 12)</t>
  </si>
  <si>
    <t>USP / SP in Q2 (SP 7 to 12)</t>
  </si>
  <si>
    <t>Avg Of Q3 Sprints(SP 13 to 15)</t>
  </si>
  <si>
    <t>Q3 (SP 13 to 15)</t>
  </si>
  <si>
    <t>Story Points accepted in 13 to date</t>
  </si>
  <si>
    <t>Story Points accepted in 14 to date</t>
  </si>
  <si>
    <t>Story Points accepted in 15 to date</t>
  </si>
  <si>
    <t>Story Points accepted in 16 to date</t>
  </si>
  <si>
    <t>Story Points accepted in 17 to date</t>
  </si>
  <si>
    <t>Story Points accepted in 18 to date</t>
  </si>
  <si>
    <t>Avg USP / SP in Q3 (SP 13 to 15)</t>
  </si>
  <si>
    <t>Avg USP / Month In Q3(SP 13 to 15)</t>
  </si>
  <si>
    <t>USP / SP in Q3 (SP 13 to 15)</t>
  </si>
  <si>
    <t>Sprint 13 Predictability
 (# SP accepted in sp 13 / # SP planned into sprint 13)</t>
  </si>
  <si>
    <t>Sprint 15 Predictability
 (# SP accepted in sp 15 / # SP planned into sprint 15)</t>
  </si>
  <si>
    <t>Sprint 17 Predictability
 (# SP accepted in sp 17 / # SP planned into sprint 17)</t>
  </si>
  <si>
    <t>Sprint 18 Predictability
 (# SP accepted in sp 18 at end of each sprint / # SP planned into sprint 18 )</t>
  </si>
  <si>
    <t>Sprint 19 Predictability
 (# SP accepted in sp 19 at end of each sprint / # SP planned into sprint 19 )</t>
  </si>
  <si>
    <t>Avg Predictablity In Q3(SP 13 to 15)</t>
  </si>
  <si>
    <t>Q3(SP 13 to 15)</t>
  </si>
  <si>
    <t>Period</t>
  </si>
  <si>
    <t>Q2</t>
  </si>
  <si>
    <t>Δ</t>
  </si>
  <si>
    <t>Application / Workstream</t>
  </si>
  <si>
    <t>Question for application lead</t>
  </si>
  <si>
    <t>Notes from lead</t>
  </si>
  <si>
    <t>Q3TD coverage</t>
  </si>
  <si>
    <t>Portfolio productivity</t>
  </si>
  <si>
    <t>Application Productivity — Q1, Q2 &amp; Q3-to-Date</t>
  </si>
  <si>
    <t>Q1 and Q2 are complete six-sprint periods. Q3TD contains SP13–15 only; Q3TD patterns are preliminary and must be revisited as further sprints are added.</t>
  </si>
  <si>
    <t>Q1 portfolio</t>
  </si>
  <si>
    <t>Q2 portfolio</t>
  </si>
  <si>
    <t>Q1→Q2</t>
  </si>
  <si>
    <t>Q3TD portfolio</t>
  </si>
  <si>
    <t>Q2→Q3TD*</t>
  </si>
  <si>
    <t>Complete 3-period history</t>
  </si>
  <si>
    <t>Three-period pattern</t>
  </si>
  <si>
    <t>Q1</t>
  </si>
  <si>
    <t>Q3TD*</t>
  </si>
  <si>
    <t>Q1→Q2 Δ</t>
  </si>
  <si>
    <t>Q2→Q3TD Δ*</t>
  </si>
  <si>
    <t>Three-period observation</t>
  </si>
  <si>
    <t>Productivity Analysis — Q1, Q2 &amp; Q3-to-Date</t>
  </si>
  <si>
    <t>Q1 and Q2 are complete (six sprints each). Q3TD covers SP13–15 and 26 of 29 applications; only Q1→Q2 is a completed-quarter comparison.</t>
  </si>
  <si>
    <t>Complete histories</t>
  </si>
  <si>
    <t>Story in brief</t>
  </si>
  <si>
    <t>Portfolio productivity rose from 7.2 in Q1 to 7.7 in Q2, a confirmed 6.1% increase. Q3TD is 7.8, only 1.6% above Q2 and based on three sprints, so it indicates stability with slight upside rather than a completed-quarter improvement. Among 25 applications with complete history, nine show sustained increases, while five show sustained declines. Seven improved in Q2 but have reversed direction in Q3TD, making them the main monitoring group.</t>
  </si>
  <si>
    <t>Portfolio three-period trend</t>
  </si>
  <si>
    <t>Coverage</t>
  </si>
  <si>
    <t>Change vs prior</t>
  </si>
  <si>
    <t>Interpretation</t>
  </si>
  <si>
    <t>SP1–6 (complete)</t>
  </si>
  <si>
    <t>Baseline complete quarter</t>
  </si>
  <si>
    <t>SP7–12 (complete)</t>
  </si>
  <si>
    <t>Confirmed quarter-over-quarter change</t>
  </si>
  <si>
    <t>SP13–15 (partial)</t>
  </si>
  <si>
    <t>Preliminary direction only</t>
  </si>
  <si>
    <t>Application trend patterns</t>
  </si>
  <si>
    <t>Pattern</t>
  </si>
  <si>
    <t>Count</t>
  </si>
  <si>
    <t>Applications</t>
  </si>
  <si>
    <t>Sustained increase</t>
  </si>
  <si>
    <t>Sustained decline</t>
  </si>
  <si>
    <t>Q3TD recovery</t>
  </si>
  <si>
    <t>Q3TD reversal</t>
  </si>
  <si>
    <t>Stable / mixed</t>
  </si>
  <si>
    <t>Confirmed Q1 → Q2 movers</t>
  </si>
  <si>
    <t>Application</t>
  </si>
  <si>
    <t>Assessment</t>
  </si>
  <si>
    <t>Largest increase</t>
  </si>
  <si>
    <t>Second-largest increase</t>
  </si>
  <si>
    <t>Third-largest increase</t>
  </si>
  <si>
    <t>Largest decline</t>
  </si>
  <si>
    <t>Second-largest decline</t>
  </si>
  <si>
    <t>Third-largest decline</t>
  </si>
  <si>
    <t>Provisional Q2 → Q3TD signals</t>
  </si>
  <si>
    <t>Δ*</t>
  </si>
  <si>
    <t>Largest positive signal</t>
  </si>
  <si>
    <t>Third positive signal</t>
  </si>
  <si>
    <t>Largest negative signal</t>
  </si>
  <si>
    <t>Second negative signal</t>
  </si>
  <si>
    <t>Third negative signal</t>
  </si>
  <si>
    <t>Analyst conclusion</t>
  </si>
  <si>
    <t>The reliable conclusion is that productivity improved in Q2 versus Q1. Q3TD currently holds that gain at portfolio level, but the application mix is uneven: sustained gains coexist with seven early reversals and five sustained declines. Prioritize the sustained-decline and Q3TD-reversal groups, while validating whether BXT, DevOps, and other positive Q3TD signals persist as more sprints are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</si>
</sst>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0.0"/>
    <numFmt numFmtId="166" formatCode="_(* #,##0_);_(* \(#,##0\);_(* &quot;-&quot;??_);_(@_)"/>
    <numFmt numFmtId="167" formatCode="_(* #,##0.0_);_(* \(#,##0.0\);_(* &quot;-&quot;??_);_(@_)"/>
    <numFmt numFmtId="168" formatCode="0.0%"/>
  </numFmts>
  <fonts count="30" x14ac:knownFonts="1">
    <font>
      <sz val="11"/>
      <color theme="1"/>
      <name val="Aptos Narrow"/>
      <family val="2"/>
      <scheme val="minor"/>
    </font>
    <font>
      <b/>
      <sz val="9"/>
      <color theme="0"/>
      <name val="Aptos Narrow"/>
      <family val="2"/>
      <scheme val="minor"/>
    </font>
    <font>
      <sz val="9"/>
      <color rgb="FF000000"/>
      <name val="Aptos Narrow"/>
      <family val="2"/>
    </font>
    <font>
      <sz val="9"/>
      <color theme="1"/>
      <name val="Aptos Narrow"/>
      <family val="2"/>
    </font>
    <font>
      <sz val="10"/>
      <color theme="1"/>
      <name val="Aptos Narrow"/>
      <family val="2"/>
    </font>
    <font>
      <sz val="9"/>
      <color theme="1"/>
      <name val="Aptos Narrow"/>
      <family val="2"/>
      <scheme val="minor"/>
    </font>
    <font>
      <b/>
      <sz val="9"/>
      <color rgb="FFFFFFFF"/>
      <name val="Aptos Narrow"/>
      <family val="2"/>
      <scheme val="minor"/>
    </font>
    <font>
      <sz val="9"/>
      <color rgb="FF000000"/>
      <name val="Aptos Narrow"/>
      <family val="2"/>
      <scheme val="minor"/>
    </font>
    <font>
      <b/>
      <sz val="9"/>
      <color rgb="FFFFFFFF"/>
      <name val="Aptos Narrow"/>
      <family val="2"/>
    </font>
    <font>
      <sz val="11"/>
      <color theme="1"/>
      <name val="Aptos Narrow"/>
      <family val="2"/>
      <scheme val="minor"/>
    </font>
    <font>
      <b/>
      <sz val="11"/>
      <color theme="1"/>
      <name val="Aptos Narrow"/>
      <family val="2"/>
      <scheme val="minor"/>
    </font>
    <font>
      <b/>
      <sz val="9"/>
      <name val="Aptos Narrow"/>
      <family val="2"/>
      <scheme val="minor"/>
    </font>
    <font>
      <sz val="9"/>
      <name val="Aptos Narrow"/>
      <family val="2"/>
      <scheme val="minor"/>
    </font>
    <font>
      <sz val="11"/>
      <color rgb="FFFF0000"/>
      <name val="Aptos Narrow"/>
      <family val="2"/>
      <scheme val="minor"/>
    </font>
    <font>
      <sz val="9"/>
      <color rgb="FF000000"/>
      <name val="Aptos Narrow"/>
      <family val="2"/>
    </font>
    <font>
      <sz val="9"/>
      <color theme="1"/>
      <name val="Aptos Narrow"/>
      <family val="2"/>
    </font>
    <font>
      <sz val="10"/>
      <color rgb="FF000000"/>
      <name val="Aptos Narrow"/>
      <family val="2"/>
      <scheme val="minor"/>
    </font>
    <font>
      <sz val="10"/>
      <color theme="1"/>
      <name val="Aptos Narrow"/>
      <family val="2"/>
    </font>
    <font>
      <sz val="9"/>
      <color indexed="81"/>
      <name val="Tahoma"/>
      <charset val="1"/>
    </font>
    <font>
      <b/>
      <sz val="9"/>
      <color indexed="81"/>
      <name val="Tahoma"/>
      <charset val="1"/>
    </font>
    <font>
      <sz val="11"/>
      <color rgb="FF404040"/>
      <name val="Aptos Narrow"/>
      <family val="2"/>
      <scheme val="minor"/>
    </font>
    <font>
      <b/>
      <sz val="11"/>
      <color rgb="FFFFFFFF"/>
      <name val="Aptos Narrow"/>
      <family val="2"/>
      <scheme val="minor"/>
    </font>
    <font>
      <b/>
      <sz val="9"/>
      <color theme="0"/>
      <name val="Calibri"/>
      <family val="2"/>
    </font>
    <font>
      <sz val="11"/>
      <color theme="1"/>
      <name val="Aptos"/>
      <family val="2"/>
    </font>
    <font>
      <b/>
      <sz val="18"/>
      <color rgb="FFFFFFFF"/>
      <name val="Aptos"/>
    </font>
    <font>
      <sz val="11"/>
      <color theme="1"/>
      <name val="Aptos"/>
    </font>
    <font>
      <b/>
      <sz val="11"/>
      <color rgb="FFFFFFFF"/>
      <name val="Aptos"/>
    </font>
    <font>
      <b/>
      <sz val="11"/>
      <color theme="1"/>
      <name val="Aptos"/>
    </font>
    <font>
      <i/>
      <sz val="11"/>
      <color rgb="FF666666"/>
      <name val="Aptos"/>
    </font>
    <font>
      <b/>
      <sz val="14"/>
      <color theme="1"/>
      <name val="Aptos"/>
    </font>
  </fonts>
  <fills count="30">
    <fill>
      <patternFill patternType="none"/>
    </fill>
    <fill>
      <patternFill patternType="gray125"/>
    </fill>
    <fill>
      <patternFill patternType="solid">
        <fgColor theme="0" tint="-0.34998626667073579"/>
        <bgColor indexed="64"/>
      </patternFill>
    </fill>
    <fill>
      <patternFill patternType="solid">
        <fgColor theme="5" tint="0.59999389629810485"/>
        <bgColor indexed="64"/>
      </patternFill>
    </fill>
    <fill>
      <patternFill patternType="solid">
        <fgColor rgb="FFFFC000"/>
        <bgColor rgb="FF000000"/>
      </patternFill>
    </fill>
    <fill>
      <patternFill patternType="solid">
        <fgColor theme="4" tint="0.59999389629810485"/>
        <bgColor indexed="64"/>
      </patternFill>
    </fill>
    <fill>
      <patternFill patternType="solid">
        <fgColor rgb="FFFFC000"/>
        <bgColor indexed="64"/>
      </patternFill>
    </fill>
    <fill>
      <patternFill patternType="solid">
        <fgColor theme="0"/>
        <bgColor indexed="64"/>
      </patternFill>
    </fill>
    <fill>
      <patternFill patternType="solid">
        <fgColor rgb="FFFBE2D5"/>
        <bgColor rgb="FF000000"/>
      </patternFill>
    </fill>
    <fill>
      <patternFill patternType="solid">
        <fgColor rgb="FF002060"/>
        <bgColor rgb="FF000000"/>
      </patternFill>
    </fill>
    <fill>
      <patternFill patternType="solid">
        <fgColor rgb="FFC1F0C8"/>
        <bgColor rgb="FF000000"/>
      </patternFill>
    </fill>
    <fill>
      <patternFill patternType="solid">
        <fgColor rgb="FF83CCEB"/>
        <bgColor rgb="FF000000"/>
      </patternFill>
    </fill>
    <fill>
      <patternFill patternType="solid">
        <fgColor rgb="FFFFFF00"/>
        <bgColor rgb="FF000000"/>
      </patternFill>
    </fill>
    <fill>
      <patternFill patternType="solid">
        <fgColor rgb="FF002060"/>
        <bgColor indexed="64"/>
      </patternFill>
    </fill>
    <fill>
      <patternFill patternType="solid">
        <fgColor theme="0"/>
        <bgColor rgb="FF000000"/>
      </patternFill>
    </fill>
    <fill>
      <patternFill patternType="solid">
        <fgColor theme="3" tint="0.749992370372631"/>
        <bgColor indexed="64"/>
      </patternFill>
    </fill>
    <fill>
      <patternFill patternType="solid">
        <fgColor theme="8" tint="0.59999389629810485"/>
        <bgColor indexed="64"/>
      </patternFill>
    </fill>
    <fill>
      <patternFill patternType="solid">
        <fgColor rgb="FFFF0000"/>
        <bgColor indexed="64"/>
      </patternFill>
    </fill>
    <fill>
      <patternFill patternType="solid">
        <fgColor rgb="FFFF0000"/>
        <bgColor rgb="FF000000"/>
      </patternFill>
    </fill>
    <fill>
      <patternFill patternType="solid">
        <fgColor theme="9"/>
        <bgColor indexed="64"/>
      </patternFill>
    </fill>
    <fill>
      <patternFill patternType="solid">
        <fgColor theme="5"/>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249977111117893"/>
        <bgColor indexed="64"/>
      </patternFill>
    </fill>
    <fill>
      <patternFill patternType="solid">
        <fgColor theme="0" tint="-0.14999847407452621"/>
        <bgColor indexed="64"/>
      </patternFill>
    </fill>
    <fill>
      <patternFill patternType="solid">
        <fgColor rgb="FF1F4E78"/>
        <bgColor indexed="64"/>
      </patternFill>
    </fill>
    <fill>
      <patternFill patternType="solid">
        <fgColor rgb="FF17365D"/>
        <bgColor indexed="64"/>
      </patternFill>
    </fill>
    <fill>
      <patternFill patternType="solid">
        <fgColor rgb="FFD9EAF7"/>
        <bgColor indexed="64"/>
      </patternFill>
    </fill>
    <fill>
      <patternFill patternType="solid">
        <fgColor rgb="FF2F75B5"/>
        <bgColor indexed="64"/>
      </patternFill>
    </fill>
    <fill>
      <patternFill patternType="solid">
        <fgColor rgb="FFEAF2F8"/>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style="thin">
        <color indexed="64"/>
      </left>
      <right/>
      <top style="thin">
        <color indexed="64"/>
      </top>
      <bottom style="thin">
        <color indexed="64"/>
      </bottom>
      <diagonal/>
    </border>
    <border>
      <left style="thin">
        <color rgb="FF000000"/>
      </left>
      <right/>
      <top style="thin">
        <color rgb="FF000000"/>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style="thin">
        <color rgb="FF000000"/>
      </top>
      <bottom style="thin">
        <color rgb="FF000000"/>
      </bottom>
      <diagonal/>
    </border>
    <border>
      <left style="thin">
        <color indexed="64"/>
      </left>
      <right/>
      <top style="thin">
        <color indexed="64"/>
      </top>
      <bottom/>
      <diagonal/>
    </border>
    <border>
      <left style="thin">
        <color indexed="64"/>
      </left>
      <right style="thin">
        <color indexed="64"/>
      </right>
      <top/>
      <bottom/>
      <diagonal/>
    </border>
  </borders>
  <cellStyleXfs count="3">
    <xf numFmtId="0" fontId="0" fillId="0" borderId="0"/>
    <xf numFmtId="164" fontId="9" fillId="0" borderId="0" applyFont="0" applyFill="0" applyBorder="0" applyAlignment="0" applyProtection="0"/>
    <xf numFmtId="9" fontId="9" fillId="0" borderId="0" applyFont="0" applyFill="0" applyBorder="0" applyAlignment="0" applyProtection="0"/>
  </cellStyleXfs>
  <cellXfs count="191">
    <xf numFmtId="0" fontId="0" fillId="0" borderId="0" xfId="0"/>
    <xf numFmtId="0" fontId="3" fillId="6" borderId="1" xfId="0" applyFont="1" applyFill="1" applyBorder="1" applyAlignment="1">
      <alignment horizontal="center" vertical="center"/>
    </xf>
    <xf numFmtId="0" fontId="4" fillId="6" borderId="1" xfId="0" applyFont="1" applyFill="1" applyBorder="1" applyAlignment="1">
      <alignment horizontal="center" vertical="center"/>
    </xf>
    <xf numFmtId="0" fontId="7" fillId="4" borderId="1" xfId="0" applyFont="1" applyFill="1" applyBorder="1" applyAlignment="1">
      <alignment horizontal="center" vertical="top"/>
    </xf>
    <xf numFmtId="0" fontId="5" fillId="0" borderId="1" xfId="0" applyFont="1" applyBorder="1"/>
    <xf numFmtId="0" fontId="2" fillId="0" borderId="1" xfId="0" applyFont="1" applyBorder="1" applyAlignment="1">
      <alignment horizontal="center" vertical="center" readingOrder="1"/>
    </xf>
    <xf numFmtId="0" fontId="2" fillId="4"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7" fillId="4" borderId="1" xfId="0" applyFont="1" applyFill="1" applyBorder="1" applyAlignment="1">
      <alignment horizontal="center" wrapText="1"/>
    </xf>
    <xf numFmtId="0" fontId="0" fillId="5" borderId="1" xfId="0" applyFill="1" applyBorder="1" applyAlignment="1">
      <alignment vertical="center" wrapText="1"/>
    </xf>
    <xf numFmtId="0" fontId="0" fillId="0" borderId="1" xfId="0" applyBorder="1"/>
    <xf numFmtId="0" fontId="2" fillId="0" borderId="1" xfId="0" applyFont="1" applyBorder="1" applyAlignment="1">
      <alignment vertical="center" readingOrder="1"/>
    </xf>
    <xf numFmtId="1" fontId="0" fillId="0" borderId="0" xfId="0" applyNumberFormat="1"/>
    <xf numFmtId="0" fontId="0" fillId="0" borderId="0" xfId="0" pivotButton="1"/>
    <xf numFmtId="0" fontId="0" fillId="0" borderId="0" xfId="0" applyAlignment="1">
      <alignment horizontal="left"/>
    </xf>
    <xf numFmtId="0" fontId="2" fillId="7" borderId="2" xfId="0" applyFont="1" applyFill="1" applyBorder="1" applyAlignment="1">
      <alignment horizontal="left" vertical="center" wrapText="1" readingOrder="1"/>
    </xf>
    <xf numFmtId="0" fontId="5" fillId="0" borderId="1" xfId="0" applyFont="1" applyBorder="1" applyAlignment="1">
      <alignment wrapText="1"/>
    </xf>
    <xf numFmtId="0" fontId="2" fillId="0" borderId="1" xfId="0" applyFont="1" applyBorder="1" applyAlignment="1">
      <alignment horizontal="center" vertical="center" wrapText="1" readingOrder="1"/>
    </xf>
    <xf numFmtId="0" fontId="2" fillId="0" borderId="1" xfId="0" applyFont="1" applyBorder="1" applyAlignment="1">
      <alignment horizontal="left" vertical="center" wrapText="1" readingOrder="1"/>
    </xf>
    <xf numFmtId="0" fontId="2" fillId="7" borderId="1" xfId="0" applyFont="1" applyFill="1" applyBorder="1" applyAlignment="1">
      <alignment horizontal="left" vertical="center" wrapText="1" readingOrder="1"/>
    </xf>
    <xf numFmtId="0" fontId="10" fillId="0" borderId="0" xfId="0" applyFont="1"/>
    <xf numFmtId="0" fontId="2" fillId="4" borderId="1" xfId="0" applyFont="1" applyFill="1" applyBorder="1" applyAlignment="1">
      <alignment horizontal="center" wrapText="1"/>
    </xf>
    <xf numFmtId="0" fontId="8" fillId="13" borderId="1" xfId="0" applyFont="1" applyFill="1" applyBorder="1" applyAlignment="1">
      <alignment horizontal="center" vertical="center" wrapText="1" readingOrder="1"/>
    </xf>
    <xf numFmtId="0" fontId="2" fillId="7" borderId="1" xfId="0" applyFont="1" applyFill="1" applyBorder="1" applyAlignment="1">
      <alignment horizontal="center" vertical="center" wrapText="1" readingOrder="1"/>
    </xf>
    <xf numFmtId="0" fontId="2" fillId="14" borderId="1" xfId="0" applyFont="1" applyFill="1" applyBorder="1" applyAlignment="1">
      <alignment horizontal="left" vertical="center" wrapText="1" readingOrder="1"/>
    </xf>
    <xf numFmtId="0" fontId="1" fillId="2" borderId="1" xfId="0" applyFont="1" applyFill="1" applyBorder="1" applyAlignment="1">
      <alignment vertical="center" wrapText="1"/>
    </xf>
    <xf numFmtId="0" fontId="7" fillId="0" borderId="1" xfId="0" applyFont="1" applyBorder="1" applyAlignment="1">
      <alignment vertical="top" readingOrder="1"/>
    </xf>
    <xf numFmtId="0" fontId="7" fillId="11" borderId="1" xfId="0" applyFont="1" applyFill="1" applyBorder="1" applyAlignment="1">
      <alignment vertical="top" readingOrder="1"/>
    </xf>
    <xf numFmtId="0" fontId="7" fillId="12" borderId="1" xfId="0" applyFont="1" applyFill="1" applyBorder="1" applyAlignment="1">
      <alignment vertical="top" readingOrder="1"/>
    </xf>
    <xf numFmtId="0" fontId="7" fillId="10" borderId="1" xfId="0" applyFont="1" applyFill="1" applyBorder="1" applyAlignment="1">
      <alignment vertical="top" readingOrder="1"/>
    </xf>
    <xf numFmtId="0" fontId="7" fillId="8" borderId="1" xfId="0" applyFont="1" applyFill="1" applyBorder="1" applyAlignment="1">
      <alignment vertical="top" readingOrder="1"/>
    </xf>
    <xf numFmtId="0" fontId="7" fillId="8" borderId="1" xfId="0" applyFont="1" applyFill="1" applyBorder="1" applyAlignment="1">
      <alignment horizontal="left" vertical="top" readingOrder="1"/>
    </xf>
    <xf numFmtId="0" fontId="5" fillId="0" borderId="0" xfId="0" applyFont="1"/>
    <xf numFmtId="0" fontId="5" fillId="0" borderId="0" xfId="0" applyFont="1" applyAlignment="1">
      <alignment vertical="center" wrapText="1"/>
    </xf>
    <xf numFmtId="0" fontId="11" fillId="3" borderId="1" xfId="0" applyFont="1" applyFill="1" applyBorder="1" applyAlignment="1">
      <alignment vertical="center" wrapText="1"/>
    </xf>
    <xf numFmtId="0" fontId="2" fillId="18" borderId="1" xfId="0" applyFont="1" applyFill="1" applyBorder="1" applyAlignment="1">
      <alignment horizontal="center" vertical="center" wrapText="1"/>
    </xf>
    <xf numFmtId="0" fontId="3" fillId="17" borderId="1" xfId="0" applyFont="1" applyFill="1" applyBorder="1" applyAlignment="1">
      <alignment horizontal="center" vertical="center" wrapText="1"/>
    </xf>
    <xf numFmtId="0" fontId="0" fillId="0" borderId="1" xfId="0" applyBorder="1" applyAlignment="1">
      <alignment horizontal="center" vertical="center"/>
    </xf>
    <xf numFmtId="9" fontId="0" fillId="0" borderId="1" xfId="2" applyFont="1" applyBorder="1" applyAlignment="1">
      <alignment horizontal="center" vertical="center"/>
    </xf>
    <xf numFmtId="9" fontId="10" fillId="0" borderId="1" xfId="2" applyFont="1" applyBorder="1" applyAlignment="1">
      <alignment horizontal="center" vertical="center"/>
    </xf>
    <xf numFmtId="9" fontId="0" fillId="0" borderId="1" xfId="0" applyNumberFormat="1" applyBorder="1" applyAlignment="1">
      <alignment horizontal="center" vertical="center"/>
    </xf>
    <xf numFmtId="0" fontId="12" fillId="16" borderId="1" xfId="0" applyFont="1" applyFill="1" applyBorder="1" applyAlignment="1">
      <alignment horizontal="center" vertical="center" wrapText="1"/>
    </xf>
    <xf numFmtId="0" fontId="8" fillId="13" borderId="3" xfId="0" applyFont="1" applyFill="1" applyBorder="1" applyAlignment="1">
      <alignment horizontal="center" vertical="center" wrapText="1" readingOrder="1"/>
    </xf>
    <xf numFmtId="0" fontId="2" fillId="0" borderId="3" xfId="0" applyFont="1" applyBorder="1" applyAlignment="1">
      <alignment horizontal="center" vertical="center" wrapText="1" readingOrder="1"/>
    </xf>
    <xf numFmtId="0" fontId="2" fillId="0" borderId="3" xfId="0" applyFont="1" applyBorder="1" applyAlignment="1">
      <alignment horizontal="left" vertical="center" wrapText="1" readingOrder="1"/>
    </xf>
    <xf numFmtId="0" fontId="2" fillId="7" borderId="3" xfId="0" applyFont="1" applyFill="1" applyBorder="1" applyAlignment="1">
      <alignment horizontal="center" vertical="center" wrapText="1" readingOrder="1"/>
    </xf>
    <xf numFmtId="0" fontId="1" fillId="15" borderId="5" xfId="0" applyFont="1" applyFill="1" applyBorder="1" applyAlignment="1">
      <alignment horizontal="center" vertical="center" wrapText="1"/>
    </xf>
    <xf numFmtId="165" fontId="0" fillId="0" borderId="0" xfId="0" applyNumberFormat="1"/>
    <xf numFmtId="0" fontId="2" fillId="0" borderId="2" xfId="0" applyFont="1" applyBorder="1" applyAlignment="1">
      <alignment horizontal="center" vertical="center" wrapText="1" readingOrder="1"/>
    </xf>
    <xf numFmtId="0" fontId="2" fillId="0" borderId="2" xfId="0" applyFont="1" applyBorder="1" applyAlignment="1">
      <alignment horizontal="left" vertical="center" wrapText="1" readingOrder="1"/>
    </xf>
    <xf numFmtId="0" fontId="2" fillId="0" borderId="6" xfId="0" applyFont="1" applyBorder="1" applyAlignment="1">
      <alignment horizontal="center" vertical="center" wrapText="1" readingOrder="1"/>
    </xf>
    <xf numFmtId="0" fontId="2" fillId="0" borderId="6" xfId="0" applyFont="1" applyBorder="1" applyAlignment="1">
      <alignment horizontal="left" vertical="center" wrapText="1" readingOrder="1"/>
    </xf>
    <xf numFmtId="0" fontId="2" fillId="7" borderId="6" xfId="0" applyFont="1" applyFill="1" applyBorder="1" applyAlignment="1">
      <alignment horizontal="left" vertical="center" wrapText="1" readingOrder="1"/>
    </xf>
    <xf numFmtId="0" fontId="5" fillId="0" borderId="3" xfId="0" applyFont="1" applyBorder="1" applyAlignment="1">
      <alignment horizontal="center" vertical="center" wrapText="1"/>
    </xf>
    <xf numFmtId="0" fontId="5" fillId="7" borderId="3" xfId="0" applyFont="1" applyFill="1" applyBorder="1" applyAlignment="1">
      <alignment wrapText="1"/>
    </xf>
    <xf numFmtId="0" fontId="5" fillId="0" borderId="0" xfId="0" applyFont="1" applyAlignment="1">
      <alignment vertical="top" wrapText="1"/>
    </xf>
    <xf numFmtId="0" fontId="11" fillId="19" borderId="5" xfId="0" applyFont="1" applyFill="1" applyBorder="1" applyAlignment="1">
      <alignment horizontal="center" vertical="center" wrapText="1"/>
    </xf>
    <xf numFmtId="0" fontId="2" fillId="7" borderId="8" xfId="0" applyFont="1" applyFill="1" applyBorder="1" applyAlignment="1">
      <alignment horizontal="left" vertical="center" wrapText="1" readingOrder="1"/>
    </xf>
    <xf numFmtId="0" fontId="2" fillId="0" borderId="8" xfId="0" applyFont="1" applyBorder="1" applyAlignment="1">
      <alignment horizontal="left" vertical="center" wrapText="1" readingOrder="1"/>
    </xf>
    <xf numFmtId="0" fontId="2" fillId="14" borderId="8" xfId="0" applyFont="1" applyFill="1" applyBorder="1" applyAlignment="1">
      <alignment horizontal="left" vertical="center" wrapText="1" readingOrder="1"/>
    </xf>
    <xf numFmtId="0" fontId="5" fillId="0" borderId="9" xfId="0" applyFont="1" applyBorder="1" applyAlignment="1">
      <alignment wrapText="1"/>
    </xf>
    <xf numFmtId="0" fontId="1" fillId="15" borderId="6" xfId="0" applyFont="1" applyFill="1" applyBorder="1" applyAlignment="1">
      <alignment horizontal="center" vertical="center" wrapText="1"/>
    </xf>
    <xf numFmtId="0" fontId="1" fillId="15" borderId="7" xfId="0" applyFont="1" applyFill="1" applyBorder="1" applyAlignment="1">
      <alignment horizontal="center" vertical="center" wrapText="1"/>
    </xf>
    <xf numFmtId="165" fontId="0" fillId="0" borderId="1" xfId="0" applyNumberFormat="1" applyBorder="1" applyAlignment="1">
      <alignment vertical="center"/>
    </xf>
    <xf numFmtId="165" fontId="0" fillId="0" borderId="1" xfId="0" applyNumberFormat="1" applyBorder="1"/>
    <xf numFmtId="165" fontId="0" fillId="0" borderId="1" xfId="0" applyNumberFormat="1" applyBorder="1" applyAlignment="1">
      <alignment horizontal="center"/>
    </xf>
    <xf numFmtId="0" fontId="1" fillId="15" borderId="6" xfId="0" applyFont="1" applyFill="1" applyBorder="1" applyAlignment="1">
      <alignment horizontal="center" vertical="top" wrapText="1"/>
    </xf>
    <xf numFmtId="0" fontId="1" fillId="3" borderId="3" xfId="0" applyFont="1" applyFill="1" applyBorder="1" applyAlignment="1">
      <alignment vertical="center" wrapText="1"/>
    </xf>
    <xf numFmtId="0" fontId="1" fillId="2" borderId="3" xfId="0" applyFont="1" applyFill="1" applyBorder="1" applyAlignment="1">
      <alignment vertical="center" wrapText="1"/>
    </xf>
    <xf numFmtId="0" fontId="1" fillId="3" borderId="8" xfId="0" applyFont="1" applyFill="1" applyBorder="1" applyAlignment="1">
      <alignment vertical="center" wrapText="1"/>
    </xf>
    <xf numFmtId="0" fontId="1" fillId="2" borderId="8" xfId="0" applyFont="1" applyFill="1" applyBorder="1" applyAlignment="1">
      <alignment vertical="center" wrapText="1"/>
    </xf>
    <xf numFmtId="0" fontId="7" fillId="0" borderId="3" xfId="0" applyFont="1" applyBorder="1" applyAlignment="1">
      <alignment horizontal="center" vertical="top" readingOrder="1"/>
    </xf>
    <xf numFmtId="0" fontId="7" fillId="0" borderId="3" xfId="0" applyFont="1" applyBorder="1" applyAlignment="1">
      <alignment vertical="top" readingOrder="1"/>
    </xf>
    <xf numFmtId="0" fontId="7" fillId="11" borderId="3" xfId="0" applyFont="1" applyFill="1" applyBorder="1" applyAlignment="1">
      <alignment vertical="top" readingOrder="1"/>
    </xf>
    <xf numFmtId="0" fontId="14" fillId="4"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4" borderId="9" xfId="0" applyFont="1" applyFill="1" applyBorder="1" applyAlignment="1">
      <alignment horizontal="center" vertical="center" wrapText="1"/>
    </xf>
    <xf numFmtId="0" fontId="0" fillId="20" borderId="1" xfId="0" applyFill="1" applyBorder="1" applyAlignment="1">
      <alignment horizontal="center"/>
    </xf>
    <xf numFmtId="166" fontId="0" fillId="0" borderId="0" xfId="0" applyNumberFormat="1"/>
    <xf numFmtId="164" fontId="0" fillId="0" borderId="0" xfId="0" applyNumberFormat="1"/>
    <xf numFmtId="0" fontId="7" fillId="0" borderId="4" xfId="0" applyFont="1" applyBorder="1" applyAlignment="1">
      <alignment vertical="top" readingOrder="1"/>
    </xf>
    <xf numFmtId="0" fontId="7" fillId="4" borderId="11" xfId="0" applyFont="1" applyFill="1" applyBorder="1" applyAlignment="1">
      <alignment horizontal="center" vertical="top"/>
    </xf>
    <xf numFmtId="0" fontId="14" fillId="4" borderId="11" xfId="0" applyFont="1" applyFill="1" applyBorder="1" applyAlignment="1">
      <alignment horizontal="center"/>
    </xf>
    <xf numFmtId="0" fontId="2" fillId="4" borderId="11" xfId="0" applyFont="1" applyFill="1" applyBorder="1" applyAlignment="1">
      <alignment horizontal="center"/>
    </xf>
    <xf numFmtId="0" fontId="2" fillId="4" borderId="11" xfId="0" applyFont="1" applyFill="1" applyBorder="1" applyAlignment="1">
      <alignment horizontal="center" wrapText="1"/>
    </xf>
    <xf numFmtId="0" fontId="2" fillId="4" borderId="12" xfId="0" applyFont="1" applyFill="1" applyBorder="1" applyAlignment="1">
      <alignment horizontal="center" wrapText="1"/>
    </xf>
    <xf numFmtId="0" fontId="7" fillId="4" borderId="13" xfId="0" applyFont="1" applyFill="1" applyBorder="1" applyAlignment="1">
      <alignment horizontal="center" vertical="top"/>
    </xf>
    <xf numFmtId="0" fontId="14" fillId="4" borderId="13" xfId="0" applyFont="1" applyFill="1" applyBorder="1" applyAlignment="1">
      <alignment horizontal="center" vertical="center"/>
    </xf>
    <xf numFmtId="0" fontId="15" fillId="6" borderId="1" xfId="0" applyFont="1" applyFill="1" applyBorder="1" applyAlignment="1">
      <alignment horizontal="center" vertical="center"/>
    </xf>
    <xf numFmtId="0" fontId="7" fillId="4" borderId="14" xfId="0" applyFont="1" applyFill="1" applyBorder="1" applyAlignment="1">
      <alignment horizontal="center" vertical="top"/>
    </xf>
    <xf numFmtId="0" fontId="14" fillId="4" borderId="14" xfId="0" applyFont="1" applyFill="1" applyBorder="1" applyAlignment="1">
      <alignment horizontal="center" vertical="center"/>
    </xf>
    <xf numFmtId="0" fontId="2" fillId="4" borderId="14" xfId="0" applyFont="1" applyFill="1" applyBorder="1" applyAlignment="1">
      <alignment horizontal="center" vertical="center"/>
    </xf>
    <xf numFmtId="0" fontId="2" fillId="4" borderId="14" xfId="0" applyFont="1" applyFill="1" applyBorder="1" applyAlignment="1">
      <alignment horizontal="center" vertical="center" wrapText="1"/>
    </xf>
    <xf numFmtId="0" fontId="2" fillId="4" borderId="15" xfId="0" applyFont="1" applyFill="1" applyBorder="1" applyAlignment="1">
      <alignment horizontal="center" vertical="center" wrapText="1"/>
    </xf>
    <xf numFmtId="0" fontId="7" fillId="12" borderId="3" xfId="0" applyFont="1" applyFill="1" applyBorder="1" applyAlignment="1">
      <alignment vertical="top" readingOrder="1"/>
    </xf>
    <xf numFmtId="0" fontId="15" fillId="6" borderId="1" xfId="0" applyFont="1" applyFill="1" applyBorder="1" applyAlignment="1">
      <alignment horizontal="center"/>
    </xf>
    <xf numFmtId="0" fontId="3" fillId="6" borderId="1" xfId="0" applyFont="1" applyFill="1" applyBorder="1" applyAlignment="1">
      <alignment horizontal="center"/>
    </xf>
    <xf numFmtId="0" fontId="3" fillId="6" borderId="1" xfId="0" applyFont="1" applyFill="1" applyBorder="1" applyAlignment="1">
      <alignment horizontal="center" wrapText="1"/>
    </xf>
    <xf numFmtId="0" fontId="3" fillId="6" borderId="9" xfId="0" applyFont="1" applyFill="1" applyBorder="1" applyAlignment="1">
      <alignment horizontal="center" wrapText="1"/>
    </xf>
    <xf numFmtId="0" fontId="3" fillId="6" borderId="9" xfId="0" applyFont="1" applyFill="1" applyBorder="1" applyAlignment="1">
      <alignment horizontal="center" vertical="center" wrapText="1"/>
    </xf>
    <xf numFmtId="0" fontId="7" fillId="10" borderId="3" xfId="0" applyFont="1" applyFill="1" applyBorder="1" applyAlignment="1">
      <alignment vertical="top" readingOrder="1"/>
    </xf>
    <xf numFmtId="0" fontId="16" fillId="4" borderId="1" xfId="0" applyFont="1" applyFill="1" applyBorder="1" applyAlignment="1">
      <alignment horizontal="center" vertical="top"/>
    </xf>
    <xf numFmtId="0" fontId="17" fillId="6" borderId="1" xfId="0" applyFont="1" applyFill="1" applyBorder="1" applyAlignment="1">
      <alignment horizontal="center" vertical="center"/>
    </xf>
    <xf numFmtId="0" fontId="4" fillId="6" borderId="9" xfId="0" applyFont="1" applyFill="1" applyBorder="1" applyAlignment="1">
      <alignment horizontal="center" vertical="center"/>
    </xf>
    <xf numFmtId="0" fontId="3" fillId="6" borderId="9" xfId="0" applyFont="1" applyFill="1" applyBorder="1" applyAlignment="1">
      <alignment horizontal="center" vertical="center"/>
    </xf>
    <xf numFmtId="0" fontId="7" fillId="8" borderId="3" xfId="0" applyFont="1" applyFill="1" applyBorder="1" applyAlignment="1">
      <alignment vertical="top" readingOrder="1"/>
    </xf>
    <xf numFmtId="0" fontId="7" fillId="4" borderId="3" xfId="0" applyFont="1" applyFill="1" applyBorder="1" applyAlignment="1">
      <alignment horizontal="center" vertical="top"/>
    </xf>
    <xf numFmtId="0" fontId="14" fillId="4" borderId="3" xfId="0" applyFont="1" applyFill="1" applyBorder="1" applyAlignment="1">
      <alignment horizontal="center" vertical="center"/>
    </xf>
    <xf numFmtId="0" fontId="2" fillId="4" borderId="3" xfId="0" applyFont="1" applyFill="1" applyBorder="1" applyAlignment="1">
      <alignment horizontal="center" vertical="center"/>
    </xf>
    <xf numFmtId="0" fontId="2" fillId="4" borderId="3" xfId="0" applyFont="1" applyFill="1" applyBorder="1" applyAlignment="1">
      <alignment horizontal="center" vertical="center" wrapText="1"/>
    </xf>
    <xf numFmtId="0" fontId="2" fillId="4" borderId="8" xfId="0" applyFont="1" applyFill="1" applyBorder="1" applyAlignment="1">
      <alignment horizontal="center" vertical="center" wrapText="1"/>
    </xf>
    <xf numFmtId="0" fontId="2" fillId="4" borderId="10" xfId="0" applyFont="1" applyFill="1" applyBorder="1" applyAlignment="1">
      <alignment horizontal="center" vertical="center" wrapText="1"/>
    </xf>
    <xf numFmtId="0" fontId="2" fillId="4" borderId="16" xfId="0" applyFont="1" applyFill="1" applyBorder="1" applyAlignment="1">
      <alignment horizontal="center" vertical="center" wrapText="1"/>
    </xf>
    <xf numFmtId="0" fontId="7" fillId="8" borderId="3" xfId="0" applyFont="1" applyFill="1" applyBorder="1" applyAlignment="1">
      <alignment horizontal="left" vertical="top" readingOrder="1"/>
    </xf>
    <xf numFmtId="0" fontId="2" fillId="4" borderId="13" xfId="0" applyFont="1" applyFill="1" applyBorder="1" applyAlignment="1">
      <alignment horizontal="center" vertical="center"/>
    </xf>
    <xf numFmtId="0" fontId="2" fillId="4" borderId="13" xfId="0" applyFont="1" applyFill="1" applyBorder="1" applyAlignment="1">
      <alignment horizontal="center" vertical="center" wrapText="1"/>
    </xf>
    <xf numFmtId="0" fontId="2" fillId="4" borderId="0" xfId="0" applyFont="1" applyFill="1" applyAlignment="1">
      <alignment horizontal="center" vertical="center" wrapText="1"/>
    </xf>
    <xf numFmtId="0" fontId="7" fillId="4" borderId="1" xfId="0" applyFont="1" applyFill="1" applyBorder="1" applyAlignment="1">
      <alignment horizontal="center"/>
    </xf>
    <xf numFmtId="0" fontId="7" fillId="4" borderId="9" xfId="0" applyFont="1" applyFill="1" applyBorder="1" applyAlignment="1">
      <alignment horizontal="center" wrapText="1"/>
    </xf>
    <xf numFmtId="0" fontId="7" fillId="4" borderId="12" xfId="0" applyFont="1" applyFill="1" applyBorder="1" applyAlignment="1">
      <alignment horizontal="center" wrapText="1"/>
    </xf>
    <xf numFmtId="0" fontId="14" fillId="0" borderId="3" xfId="0" applyFont="1" applyBorder="1" applyAlignment="1">
      <alignment horizontal="center" vertical="center" readingOrder="1"/>
    </xf>
    <xf numFmtId="0" fontId="14" fillId="7" borderId="3" xfId="0" applyFont="1" applyFill="1" applyBorder="1" applyAlignment="1">
      <alignment horizontal="left" vertical="center" readingOrder="1"/>
    </xf>
    <xf numFmtId="0" fontId="7" fillId="4" borderId="7" xfId="0" applyFont="1" applyFill="1" applyBorder="1" applyAlignment="1">
      <alignment horizontal="center"/>
    </xf>
    <xf numFmtId="0" fontId="7" fillId="4" borderId="7" xfId="0" applyFont="1" applyFill="1" applyBorder="1" applyAlignment="1">
      <alignment horizontal="center" wrapText="1"/>
    </xf>
    <xf numFmtId="0" fontId="7" fillId="4" borderId="17" xfId="0" applyFont="1" applyFill="1" applyBorder="1" applyAlignment="1">
      <alignment horizontal="center" wrapText="1"/>
    </xf>
    <xf numFmtId="0" fontId="5" fillId="0" borderId="0" xfId="0" applyFont="1" applyAlignment="1">
      <alignment vertical="center"/>
    </xf>
    <xf numFmtId="0" fontId="5" fillId="0" borderId="0" xfId="0" applyFont="1" applyAlignment="1">
      <alignment wrapText="1"/>
    </xf>
    <xf numFmtId="9" fontId="0" fillId="0" borderId="0" xfId="2" applyFont="1" applyAlignment="1">
      <alignment horizontal="center" vertical="center"/>
    </xf>
    <xf numFmtId="0" fontId="1" fillId="2" borderId="1" xfId="0" applyFont="1" applyFill="1" applyBorder="1" applyAlignment="1">
      <alignment horizontal="center" vertical="center" wrapText="1"/>
    </xf>
    <xf numFmtId="0" fontId="6" fillId="9" borderId="3" xfId="0" applyFont="1" applyFill="1" applyBorder="1" applyAlignment="1">
      <alignment horizontal="center" vertical="center" readingOrder="1"/>
    </xf>
    <xf numFmtId="9" fontId="0" fillId="0" borderId="0" xfId="0" applyNumberFormat="1"/>
    <xf numFmtId="0" fontId="6" fillId="9" borderId="1" xfId="0" applyFont="1" applyFill="1" applyBorder="1" applyAlignment="1">
      <alignment horizontal="center" vertical="center" readingOrder="1"/>
    </xf>
    <xf numFmtId="0" fontId="14" fillId="7" borderId="1" xfId="0" applyFont="1" applyFill="1" applyBorder="1" applyAlignment="1">
      <alignment horizontal="left" vertical="center" readingOrder="1"/>
    </xf>
    <xf numFmtId="0" fontId="5" fillId="0" borderId="1" xfId="0" applyFont="1" applyBorder="1" applyAlignment="1">
      <alignment horizontal="left" vertical="top" wrapText="1"/>
    </xf>
    <xf numFmtId="0" fontId="13" fillId="0" borderId="0" xfId="0" applyFont="1"/>
    <xf numFmtId="165" fontId="13" fillId="0" borderId="1" xfId="0" applyNumberFormat="1" applyFont="1" applyBorder="1"/>
    <xf numFmtId="167" fontId="0" fillId="0" borderId="1" xfId="1" applyNumberFormat="1" applyFont="1" applyFill="1" applyBorder="1"/>
    <xf numFmtId="167" fontId="0" fillId="0" borderId="1" xfId="1" applyNumberFormat="1" applyFont="1" applyBorder="1"/>
    <xf numFmtId="166" fontId="0" fillId="0" borderId="1" xfId="1" applyNumberFormat="1" applyFont="1" applyBorder="1"/>
    <xf numFmtId="166" fontId="9" fillId="0" borderId="0" xfId="1" applyNumberFormat="1" applyFont="1"/>
    <xf numFmtId="0" fontId="1" fillId="15" borderId="6" xfId="0" applyFont="1" applyFill="1" applyBorder="1" applyAlignment="1">
      <alignment vertical="top" wrapText="1"/>
    </xf>
    <xf numFmtId="0" fontId="7" fillId="0" borderId="8" xfId="0" applyFont="1" applyBorder="1" applyAlignment="1">
      <alignment vertical="top" readingOrder="1"/>
    </xf>
    <xf numFmtId="9" fontId="0" fillId="0" borderId="1" xfId="2" applyFont="1" applyBorder="1"/>
    <xf numFmtId="9" fontId="0" fillId="0" borderId="0" xfId="2" applyFont="1" applyBorder="1"/>
    <xf numFmtId="0" fontId="1" fillId="2" borderId="1" xfId="0" applyFont="1" applyFill="1" applyBorder="1" applyAlignment="1">
      <alignment horizontal="center" vertical="top" wrapText="1"/>
    </xf>
    <xf numFmtId="0" fontId="11" fillId="21" borderId="3" xfId="0" applyFont="1" applyFill="1" applyBorder="1" applyAlignment="1">
      <alignment vertical="top" wrapText="1"/>
    </xf>
    <xf numFmtId="9" fontId="0" fillId="23" borderId="1" xfId="2" applyFont="1" applyFill="1" applyBorder="1"/>
    <xf numFmtId="0" fontId="1" fillId="2" borderId="18" xfId="0" applyFont="1" applyFill="1" applyBorder="1" applyAlignment="1">
      <alignment vertical="center" wrapText="1"/>
    </xf>
    <xf numFmtId="0" fontId="0" fillId="0" borderId="0" xfId="0" applyAlignment="1">
      <alignment horizontal="center"/>
    </xf>
    <xf numFmtId="0" fontId="1" fillId="2" borderId="18" xfId="0" applyFont="1" applyFill="1" applyBorder="1" applyAlignment="1">
      <alignment horizontal="center" vertical="center" wrapText="1"/>
    </xf>
    <xf numFmtId="0" fontId="20" fillId="0" borderId="0" xfId="0" applyFont="1" applyAlignment="1">
      <alignment horizontal="center"/>
    </xf>
    <xf numFmtId="167" fontId="0" fillId="21" borderId="1" xfId="1" applyNumberFormat="1" applyFont="1" applyFill="1" applyBorder="1"/>
    <xf numFmtId="9" fontId="0" fillId="0" borderId="0" xfId="2" applyFont="1"/>
    <xf numFmtId="10" fontId="0" fillId="0" borderId="0" xfId="0" applyNumberFormat="1"/>
    <xf numFmtId="9" fontId="1" fillId="15" borderId="6" xfId="2" applyFont="1" applyFill="1" applyBorder="1" applyAlignment="1">
      <alignment vertical="top" wrapText="1"/>
    </xf>
    <xf numFmtId="165" fontId="0" fillId="24" borderId="1" xfId="0" applyNumberFormat="1" applyFill="1" applyBorder="1"/>
    <xf numFmtId="167" fontId="0" fillId="24" borderId="1" xfId="1" applyNumberFormat="1" applyFont="1" applyFill="1" applyBorder="1"/>
    <xf numFmtId="9" fontId="0" fillId="22" borderId="1" xfId="2" applyFont="1" applyFill="1" applyBorder="1" applyAlignment="1">
      <alignment horizontal="center" vertical="center"/>
    </xf>
    <xf numFmtId="9" fontId="0" fillId="22" borderId="1" xfId="0" applyNumberFormat="1" applyFill="1" applyBorder="1" applyAlignment="1">
      <alignment horizontal="center" vertical="center"/>
    </xf>
    <xf numFmtId="0" fontId="0" fillId="22" borderId="1" xfId="0" applyFill="1" applyBorder="1" applyAlignment="1">
      <alignment horizontal="center" vertical="center"/>
    </xf>
    <xf numFmtId="9" fontId="10" fillId="22" borderId="1" xfId="2" applyFont="1" applyFill="1" applyBorder="1" applyAlignment="1">
      <alignment horizontal="center" vertical="center"/>
    </xf>
    <xf numFmtId="9" fontId="0" fillId="22" borderId="1" xfId="2" applyFont="1" applyFill="1" applyBorder="1"/>
    <xf numFmtId="9" fontId="0" fillId="22" borderId="0" xfId="2" applyFont="1" applyFill="1"/>
    <xf numFmtId="3" fontId="0" fillId="0" borderId="0" xfId="0" applyNumberFormat="1"/>
    <xf numFmtId="0" fontId="21" fillId="25" borderId="0" xfId="0" applyFont="1" applyFill="1" applyAlignment="1">
      <alignment horizontal="center"/>
    </xf>
    <xf numFmtId="165" fontId="0" fillId="0" borderId="1" xfId="1" applyNumberFormat="1" applyFont="1" applyFill="1" applyBorder="1" applyAlignment="1">
      <alignment horizontal="right"/>
    </xf>
    <xf numFmtId="165" fontId="0" fillId="0" borderId="1" xfId="1" applyNumberFormat="1" applyFont="1" applyBorder="1" applyAlignment="1">
      <alignment horizontal="right"/>
    </xf>
    <xf numFmtId="165" fontId="0" fillId="0" borderId="0" xfId="0" applyNumberFormat="1" applyAlignment="1">
      <alignment horizontal="right"/>
    </xf>
    <xf numFmtId="165" fontId="0" fillId="24" borderId="1" xfId="1" applyNumberFormat="1" applyFont="1" applyFill="1" applyBorder="1" applyAlignment="1">
      <alignment horizontal="right"/>
    </xf>
    <xf numFmtId="0" fontId="22" fillId="15" borderId="6" xfId="0" applyFont="1" applyFill="1" applyBorder="1" applyAlignment="1">
      <alignment horizontal="center" vertical="top" wrapText="1"/>
    </xf>
    <xf numFmtId="0" fontId="0" fillId="0" borderId="0" xfId="0" applyAlignment="1">
      <alignment horizontal="left" indent="1"/>
    </xf>
    <xf numFmtId="0" fontId="0" fillId="22" borderId="0" xfId="0" applyFill="1"/>
    <xf numFmtId="166" fontId="0" fillId="22" borderId="0" xfId="0" applyNumberFormat="1" applyFill="1"/>
    <xf numFmtId="164" fontId="0" fillId="22" borderId="0" xfId="0" applyNumberFormat="1" applyFill="1"/>
    <xf numFmtId="0" fontId="0" fillId="22" borderId="0" xfId="0" applyFill="1" applyAlignment="1">
      <alignment horizontal="center"/>
    </xf>
    <xf numFmtId="0" fontId="20" fillId="22" borderId="0" xfId="0" applyFont="1" applyFill="1" applyAlignment="1">
      <alignment horizontal="center"/>
    </xf>
    <xf numFmtId="0" fontId="23" fillId="0" borderId="0" xfId="0" applyFont="1"/>
    <xf numFmtId="0" fontId="25" fillId="0" borderId="0" xfId="0" applyFont="1"/>
    <xf numFmtId="0" fontId="24" fillId="26" borderId="0" xfId="0" applyFont="1" applyFill="1"/>
    <xf numFmtId="0" fontId="28" fillId="0" borderId="0" xfId="0" applyFont="1" applyAlignment="1">
      <alignment wrapText="1"/>
    </xf>
    <xf numFmtId="0" fontId="26" fillId="28" borderId="0" xfId="0" applyFont="1" applyFill="1" applyAlignment="1">
      <alignment horizontal="center"/>
    </xf>
    <xf numFmtId="0" fontId="29" fillId="29" borderId="0" xfId="0" applyFont="1" applyFill="1" applyAlignment="1">
      <alignment horizontal="center"/>
    </xf>
    <xf numFmtId="165" fontId="29" fillId="29" borderId="0" xfId="0" applyNumberFormat="1" applyFont="1" applyFill="1" applyAlignment="1">
      <alignment horizontal="center"/>
    </xf>
    <xf numFmtId="168" fontId="29" fillId="29" borderId="0" xfId="0" applyNumberFormat="1" applyFont="1" applyFill="1" applyAlignment="1">
      <alignment horizontal="center"/>
    </xf>
    <xf numFmtId="0" fontId="26" fillId="28" borderId="0" xfId="0" applyFont="1" applyFill="1"/>
    <xf numFmtId="0" fontId="25" fillId="29" borderId="0" xfId="0" applyFont="1" applyFill="1" applyAlignment="1">
      <alignment wrapText="1"/>
    </xf>
    <xf numFmtId="0" fontId="27" fillId="27" borderId="0" xfId="0" applyFont="1" applyFill="1" applyAlignment="1">
      <alignment horizontal="center"/>
    </xf>
    <xf numFmtId="165" fontId="25" fillId="0" borderId="0" xfId="0" applyNumberFormat="1" applyFont="1"/>
    <xf numFmtId="168" fontId="25" fillId="0" borderId="0" xfId="0" applyNumberFormat="1" applyFont="1"/>
    <xf numFmtId="0" fontId="25" fillId="0" borderId="0" xfId="0" applyFont="1" applyAlignment="1">
      <alignment wrapText="1"/>
    </xf>
    <xf numFmtId="0" fontId="26" fillId="28" borderId="0" xfId="0" applyFont="1" applyFill="1" applyAlignment="1">
      <alignment horizontal="center" wrapText="1"/>
    </xf>
  </cellXfs>
  <cellStyles count="3">
    <cellStyle name="Comma" xfId="1" builtinId="3"/>
    <cellStyle name="Normal" xfId="0" builtinId="0"/>
    <cellStyle name="Percent" xfId="2" builtinId="5"/>
  </cellStyles>
  <dxfs count="26">
    <dxf>
      <font>
        <name val="Aptos"/>
      </font>
      <alignment wrapText="1"/>
    </dxf>
    <dxf>
      <font>
        <name val="Aptos"/>
      </font>
      <alignment wrapText="1"/>
    </dxf>
    <dxf>
      <font>
        <name val="Aptos"/>
      </font>
      <numFmt numFmtId="165" formatCode="0.0"/>
    </dxf>
    <dxf>
      <font>
        <name val="Aptos"/>
      </font>
      <numFmt numFmtId="165" formatCode="0.0"/>
    </dxf>
    <dxf>
      <font>
        <name val="Aptos"/>
      </font>
      <numFmt numFmtId="165" formatCode="0.0"/>
    </dxf>
    <dxf>
      <font>
        <name val="Aptos"/>
      </font>
      <numFmt numFmtId="165" formatCode="0.0"/>
    </dxf>
    <dxf>
      <font>
        <name val="Aptos"/>
      </font>
      <numFmt numFmtId="165" formatCode="0.0"/>
    </dxf>
    <dxf>
      <font>
        <b/>
        <color rgb="FFFFFFFF"/>
        <name val="Aptos"/>
      </font>
      <fill>
        <patternFill patternType="solid">
          <fgColor indexed="64"/>
          <bgColor rgb="FF2F75B5"/>
        </patternFill>
      </fill>
      <alignment horizontal="center" wrapText="1"/>
    </dxf>
    <dxf>
      <font>
        <name val="Aptos"/>
      </font>
    </dxf>
    <dxf>
      <font>
        <name val="Aptos"/>
      </font>
    </dxf>
    <dxf>
      <font>
        <name val="Aptos"/>
      </font>
    </dxf>
    <dxf>
      <font>
        <name val="Aptos"/>
      </font>
    </dxf>
    <dxf>
      <font>
        <color rgb="FF7F6000"/>
      </font>
      <fill>
        <patternFill patternType="solid">
          <fgColor indexed="64"/>
          <bgColor rgb="FFFFF2CC"/>
        </patternFill>
      </fill>
    </dxf>
    <dxf>
      <font>
        <color rgb="FF274E13"/>
      </font>
      <fill>
        <patternFill patternType="solid">
          <fgColor indexed="64"/>
          <bgColor rgb="FFD9EAD3"/>
        </patternFill>
      </fill>
    </dxf>
    <dxf>
      <font>
        <color rgb="FF990000"/>
      </font>
      <fill>
        <patternFill patternType="solid">
          <fgColor indexed="64"/>
          <bgColor rgb="FFF4CCCC"/>
        </patternFill>
      </fill>
    </dxf>
    <dxf>
      <font>
        <b/>
        <i val="0"/>
        <color rgb="FF7F7F7F"/>
      </font>
    </dxf>
    <dxf>
      <font>
        <b/>
        <i val="0"/>
        <color rgb="FFC00000"/>
      </font>
    </dxf>
    <dxf>
      <font>
        <b/>
        <i val="0"/>
        <color rgb="FF0000FF"/>
      </font>
    </dxf>
    <dxf>
      <font>
        <b/>
        <i val="0"/>
        <color rgb="FF666666"/>
      </font>
    </dxf>
    <dxf>
      <font>
        <b/>
        <i val="0"/>
        <color rgb="FFC00000"/>
      </font>
    </dxf>
    <dxf>
      <font>
        <b/>
        <i val="0"/>
        <color rgb="FF0000FF"/>
      </font>
    </dxf>
    <dxf>
      <numFmt numFmtId="165" formatCode="0.0"/>
    </dxf>
    <dxf>
      <numFmt numFmtId="14" formatCode="0.00%"/>
    </dxf>
    <dxf>
      <numFmt numFmtId="13" formatCode="0%"/>
    </dxf>
    <dxf>
      <numFmt numFmtId="1" formatCode="0"/>
    </dxf>
    <dxf>
      <numFmt numFmtId="165"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pivotCacheDefinition" Target="pivotCache/pivotCacheDefinition5.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[Late.xlsx]Pivot Productivity!PivotTable1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pivotFmt>
      <c:pivotFmt>
        <c:idx val="7"/>
        <c:spPr>
          <a:solidFill>
            <a:schemeClr val="accent3"/>
          </a:solidFill>
          <a:ln>
            <a:noFill/>
          </a:ln>
          <a:effectLst/>
        </c:spPr>
      </c:pivotFmt>
      <c:pivotFmt>
        <c:idx val="8"/>
        <c:spPr>
          <a:solidFill>
            <a:schemeClr val="accent3"/>
          </a:solidFill>
          <a:ln>
            <a:noFill/>
          </a:ln>
          <a:effectLst/>
        </c:spPr>
      </c:pivotFmt>
      <c:pivotFmt>
        <c:idx val="9"/>
        <c:spPr>
          <a:solidFill>
            <a:schemeClr val="accent3"/>
          </a:solidFill>
          <a:ln>
            <a:noFill/>
          </a:ln>
          <a:effectLst/>
        </c:spPr>
      </c:pivotFmt>
      <c:pivotFmt>
        <c:idx val="10"/>
        <c:spPr>
          <a:solidFill>
            <a:schemeClr val="accent3"/>
          </a:solidFill>
          <a:ln>
            <a:noFill/>
          </a:ln>
          <a:effectLst/>
        </c:spPr>
      </c:pivotFmt>
    </c:pivotFmts>
    <c:plotArea>
      <c:layout/>
      <c:barChart>
        <c:barDir val="col"/>
        <c:grouping val="clustered"/>
        <c:varyColors val="0"/>
        <c:ser>
          <c:idx val="0"/>
          <c:order val="0"/>
          <c:tx>
            <c:strRef>
              <c:f>'Pivot Productivity'!$B$4</c:f>
              <c:strCache>
                <c:ptCount val="1"/>
                <c:pt idx="0">
                  <c:v>Q3 (SP 14 to 19)</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Productivity'!$A$5:$A$34</c:f>
              <c:multiLvlStrCache>
                <c:ptCount val="23"/>
                <c:lvl>
                  <c:pt idx="0">
                    <c:v>Account Services - BRE</c:v>
                  </c:pt>
                  <c:pt idx="1">
                    <c:v>Account Services - NOW</c:v>
                  </c:pt>
                  <c:pt idx="2">
                    <c:v>Account Services - XM PDF</c:v>
                  </c:pt>
                  <c:pt idx="3">
                    <c:v>CPOS</c:v>
                  </c:pt>
                  <c:pt idx="4">
                    <c:v>XM Velocity 1/Xceeders</c:v>
                  </c:pt>
                  <c:pt idx="5">
                    <c:v>XM Velocity 2/Xplorers</c:v>
                  </c:pt>
                  <c:pt idx="6">
                    <c:v>XM360 CBM/Phoenix</c:v>
                  </c:pt>
                  <c:pt idx="7">
                    <c:v>XM360 Supersonix</c:v>
                  </c:pt>
                  <c:pt idx="8">
                    <c:v>Xumo</c:v>
                  </c:pt>
                  <c:pt idx="9">
                    <c:v>DevOps</c:v>
                  </c:pt>
                  <c:pt idx="10">
                    <c:v>NWT - Core</c:v>
                  </c:pt>
                  <c:pt idx="11">
                    <c:v>NWT - PSNB</c:v>
                  </c:pt>
                  <c:pt idx="12">
                    <c:v>NWT - UI</c:v>
                  </c:pt>
                  <c:pt idx="13">
                    <c:v>NWT-FSM</c:v>
                  </c:pt>
                  <c:pt idx="14">
                    <c:v>NWT-FSM 2 (NOVA)</c:v>
                  </c:pt>
                  <c:pt idx="15">
                    <c:v>Celestial (Titan)</c:v>
                  </c:pt>
                  <c:pt idx="16">
                    <c:v>Celestial (Universal)</c:v>
                  </c:pt>
                  <c:pt idx="17">
                    <c:v>Flow Engine (optimus)</c:v>
                  </c:pt>
                  <c:pt idx="18">
                    <c:v>Flow Engine (prometheus)</c:v>
                  </c:pt>
                  <c:pt idx="19">
                    <c:v>Right Answers</c:v>
                  </c:pt>
                  <c:pt idx="20">
                    <c:v>XRM - HSD Scrum</c:v>
                  </c:pt>
                  <c:pt idx="21">
                    <c:v>XRM - Video Scrum</c:v>
                  </c:pt>
                  <c:pt idx="22">
                    <c:v>XRM - VOIXM Scrum</c:v>
                  </c:pt>
                </c:lvl>
                <c:lvl>
                  <c:pt idx="0">
                    <c:v>Account Services</c:v>
                  </c:pt>
                  <c:pt idx="3">
                    <c:v>Assisted Tools</c:v>
                  </c:pt>
                  <c:pt idx="9">
                    <c:v>BXT</c:v>
                  </c:pt>
                  <c:pt idx="10">
                    <c:v>Field Experience</c:v>
                  </c:pt>
                  <c:pt idx="15">
                    <c:v>Platform</c:v>
                  </c:pt>
                  <c:pt idx="20">
                    <c:v>XRM</c:v>
                  </c:pt>
                </c:lvl>
              </c:multiLvlStrCache>
            </c:multiLvlStrRef>
          </c:cat>
          <c:val>
            <c:numRef>
              <c:f>'Pivot Productivity'!$B$5:$B$34</c:f>
              <c:numCache>
                <c:formatCode>0.0</c:formatCode>
                <c:ptCount val="23"/>
                <c:pt idx="0">
                  <c:v>12.142857142857142</c:v>
                </c:pt>
                <c:pt idx="1">
                  <c:v>5.2857142857142856</c:v>
                </c:pt>
                <c:pt idx="2">
                  <c:v>8.8928571428571423</c:v>
                </c:pt>
                <c:pt idx="4">
                  <c:v>4.2307692307692308</c:v>
                </c:pt>
                <c:pt idx="5">
                  <c:v>3.8000000000000003</c:v>
                </c:pt>
                <c:pt idx="6">
                  <c:v>6.0714285714285721</c:v>
                </c:pt>
                <c:pt idx="7">
                  <c:v>6.1407407407407417</c:v>
                </c:pt>
                <c:pt idx="8">
                  <c:v>9.643434343434345</c:v>
                </c:pt>
                <c:pt idx="9">
                  <c:v>5.9259259259259265</c:v>
                </c:pt>
                <c:pt idx="10">
                  <c:v>8.5499999999999989</c:v>
                </c:pt>
                <c:pt idx="11">
                  <c:v>8.4166666666666661</c:v>
                </c:pt>
                <c:pt idx="12">
                  <c:v>8.6862745098039227</c:v>
                </c:pt>
                <c:pt idx="13">
                  <c:v>5.38</c:v>
                </c:pt>
                <c:pt idx="15">
                  <c:v>11.416666666666666</c:v>
                </c:pt>
                <c:pt idx="16">
                  <c:v>7.6944444444444455</c:v>
                </c:pt>
                <c:pt idx="17">
                  <c:v>4.416666666666667</c:v>
                </c:pt>
                <c:pt idx="18">
                  <c:v>3.0240740740740741</c:v>
                </c:pt>
                <c:pt idx="19">
                  <c:v>9.25</c:v>
                </c:pt>
                <c:pt idx="20">
                  <c:v>5.0666666666666664</c:v>
                </c:pt>
                <c:pt idx="21">
                  <c:v>6.5909090909090908</c:v>
                </c:pt>
                <c:pt idx="22">
                  <c:v>4.2106060606060609</c:v>
                </c:pt>
              </c:numCache>
            </c:numRef>
          </c:val>
          <c:extLst>
            <c:ext xmlns:c16="http://schemas.microsoft.com/office/drawing/2014/chart" uri="{C3380CC4-5D6E-409C-BE32-E72D297353CC}">
              <c16:uniqueId val="{00000000-1F61-4880-84B4-D979F99DC39C}"/>
            </c:ext>
          </c:extLst>
        </c:ser>
        <c:ser>
          <c:idx val="1"/>
          <c:order val="1"/>
          <c:tx>
            <c:strRef>
              <c:f>'Pivot Productivity'!$C$4</c:f>
              <c:strCache>
                <c:ptCount val="1"/>
                <c:pt idx="0">
                  <c:v>Q4 (SP 20 to 26)</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Productivity'!$A$5:$A$34</c:f>
              <c:multiLvlStrCache>
                <c:ptCount val="23"/>
                <c:lvl>
                  <c:pt idx="0">
                    <c:v>Account Services - BRE</c:v>
                  </c:pt>
                  <c:pt idx="1">
                    <c:v>Account Services - NOW</c:v>
                  </c:pt>
                  <c:pt idx="2">
                    <c:v>Account Services - XM PDF</c:v>
                  </c:pt>
                  <c:pt idx="3">
                    <c:v>CPOS</c:v>
                  </c:pt>
                  <c:pt idx="4">
                    <c:v>XM Velocity 1/Xceeders</c:v>
                  </c:pt>
                  <c:pt idx="5">
                    <c:v>XM Velocity 2/Xplorers</c:v>
                  </c:pt>
                  <c:pt idx="6">
                    <c:v>XM360 CBM/Phoenix</c:v>
                  </c:pt>
                  <c:pt idx="7">
                    <c:v>XM360 Supersonix</c:v>
                  </c:pt>
                  <c:pt idx="8">
                    <c:v>Xumo</c:v>
                  </c:pt>
                  <c:pt idx="9">
                    <c:v>DevOps</c:v>
                  </c:pt>
                  <c:pt idx="10">
                    <c:v>NWT - Core</c:v>
                  </c:pt>
                  <c:pt idx="11">
                    <c:v>NWT - PSNB</c:v>
                  </c:pt>
                  <c:pt idx="12">
                    <c:v>NWT - UI</c:v>
                  </c:pt>
                  <c:pt idx="13">
                    <c:v>NWT-FSM</c:v>
                  </c:pt>
                  <c:pt idx="14">
                    <c:v>NWT-FSM 2 (NOVA)</c:v>
                  </c:pt>
                  <c:pt idx="15">
                    <c:v>Celestial (Titan)</c:v>
                  </c:pt>
                  <c:pt idx="16">
                    <c:v>Celestial (Universal)</c:v>
                  </c:pt>
                  <c:pt idx="17">
                    <c:v>Flow Engine (optimus)</c:v>
                  </c:pt>
                  <c:pt idx="18">
                    <c:v>Flow Engine (prometheus)</c:v>
                  </c:pt>
                  <c:pt idx="19">
                    <c:v>Right Answers</c:v>
                  </c:pt>
                  <c:pt idx="20">
                    <c:v>XRM - HSD Scrum</c:v>
                  </c:pt>
                  <c:pt idx="21">
                    <c:v>XRM - Video Scrum</c:v>
                  </c:pt>
                  <c:pt idx="22">
                    <c:v>XRM - VOIXM Scrum</c:v>
                  </c:pt>
                </c:lvl>
                <c:lvl>
                  <c:pt idx="0">
                    <c:v>Account Services</c:v>
                  </c:pt>
                  <c:pt idx="3">
                    <c:v>Assisted Tools</c:v>
                  </c:pt>
                  <c:pt idx="9">
                    <c:v>BXT</c:v>
                  </c:pt>
                  <c:pt idx="10">
                    <c:v>Field Experience</c:v>
                  </c:pt>
                  <c:pt idx="15">
                    <c:v>Platform</c:v>
                  </c:pt>
                  <c:pt idx="20">
                    <c:v>XRM</c:v>
                  </c:pt>
                </c:lvl>
              </c:multiLvlStrCache>
            </c:multiLvlStrRef>
          </c:cat>
          <c:val>
            <c:numRef>
              <c:f>'Pivot Productivity'!$C$5:$C$34</c:f>
              <c:numCache>
                <c:formatCode>0.0</c:formatCode>
                <c:ptCount val="23"/>
                <c:pt idx="0">
                  <c:v>12.142857142857142</c:v>
                </c:pt>
                <c:pt idx="1">
                  <c:v>5.2857142857142856</c:v>
                </c:pt>
                <c:pt idx="2">
                  <c:v>8.8928571428571423</c:v>
                </c:pt>
                <c:pt idx="3">
                  <c:v>4.9444444444444446</c:v>
                </c:pt>
                <c:pt idx="4">
                  <c:v>5.6754945055054948</c:v>
                </c:pt>
                <c:pt idx="5">
                  <c:v>4.2228571429047621</c:v>
                </c:pt>
                <c:pt idx="6">
                  <c:v>7.3921428571428569</c:v>
                </c:pt>
                <c:pt idx="7">
                  <c:v>7.4598412063492061</c:v>
                </c:pt>
                <c:pt idx="8">
                  <c:v>8.3312087915384616</c:v>
                </c:pt>
                <c:pt idx="9">
                  <c:v>4.822857142857143</c:v>
                </c:pt>
                <c:pt idx="10">
                  <c:v>8.1142857142857139</c:v>
                </c:pt>
                <c:pt idx="11">
                  <c:v>8.7071428571428573</c:v>
                </c:pt>
                <c:pt idx="12">
                  <c:v>7.1806630252100847</c:v>
                </c:pt>
                <c:pt idx="13">
                  <c:v>5.4530571428571433</c:v>
                </c:pt>
                <c:pt idx="15">
                  <c:v>10.514285714285716</c:v>
                </c:pt>
                <c:pt idx="16">
                  <c:v>7.9877551020612243</c:v>
                </c:pt>
                <c:pt idx="17">
                  <c:v>4.2214285714285715</c:v>
                </c:pt>
                <c:pt idx="18">
                  <c:v>4.2238095301587304</c:v>
                </c:pt>
                <c:pt idx="19">
                  <c:v>6.1428571428571432</c:v>
                </c:pt>
                <c:pt idx="20">
                  <c:v>4.5185714285714287</c:v>
                </c:pt>
                <c:pt idx="21">
                  <c:v>6.1038961038961039</c:v>
                </c:pt>
                <c:pt idx="22">
                  <c:v>5.5</c:v>
                </c:pt>
              </c:numCache>
            </c:numRef>
          </c:val>
          <c:extLst>
            <c:ext xmlns:c16="http://schemas.microsoft.com/office/drawing/2014/chart" uri="{C3380CC4-5D6E-409C-BE32-E72D297353CC}">
              <c16:uniqueId val="{00000001-1F61-4880-84B4-D979F99DC39C}"/>
            </c:ext>
          </c:extLst>
        </c:ser>
        <c:ser>
          <c:idx val="2"/>
          <c:order val="2"/>
          <c:tx>
            <c:strRef>
              <c:f>'Pivot Productivity'!$D$4</c:f>
              <c:strCache>
                <c:ptCount val="1"/>
                <c:pt idx="0">
                  <c:v>Q1 (SP 1 to 6)</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Productivity'!$A$5:$A$34</c:f>
              <c:multiLvlStrCache>
                <c:ptCount val="23"/>
                <c:lvl>
                  <c:pt idx="0">
                    <c:v>Account Services - BRE</c:v>
                  </c:pt>
                  <c:pt idx="1">
                    <c:v>Account Services - NOW</c:v>
                  </c:pt>
                  <c:pt idx="2">
                    <c:v>Account Services - XM PDF</c:v>
                  </c:pt>
                  <c:pt idx="3">
                    <c:v>CPOS</c:v>
                  </c:pt>
                  <c:pt idx="4">
                    <c:v>XM Velocity 1/Xceeders</c:v>
                  </c:pt>
                  <c:pt idx="5">
                    <c:v>XM Velocity 2/Xplorers</c:v>
                  </c:pt>
                  <c:pt idx="6">
                    <c:v>XM360 CBM/Phoenix</c:v>
                  </c:pt>
                  <c:pt idx="7">
                    <c:v>XM360 Supersonix</c:v>
                  </c:pt>
                  <c:pt idx="8">
                    <c:v>Xumo</c:v>
                  </c:pt>
                  <c:pt idx="9">
                    <c:v>DevOps</c:v>
                  </c:pt>
                  <c:pt idx="10">
                    <c:v>NWT - Core</c:v>
                  </c:pt>
                  <c:pt idx="11">
                    <c:v>NWT - PSNB</c:v>
                  </c:pt>
                  <c:pt idx="12">
                    <c:v>NWT - UI</c:v>
                  </c:pt>
                  <c:pt idx="13">
                    <c:v>NWT-FSM</c:v>
                  </c:pt>
                  <c:pt idx="14">
                    <c:v>NWT-FSM 2 (NOVA)</c:v>
                  </c:pt>
                  <c:pt idx="15">
                    <c:v>Celestial (Titan)</c:v>
                  </c:pt>
                  <c:pt idx="16">
                    <c:v>Celestial (Universal)</c:v>
                  </c:pt>
                  <c:pt idx="17">
                    <c:v>Flow Engine (optimus)</c:v>
                  </c:pt>
                  <c:pt idx="18">
                    <c:v>Flow Engine (prometheus)</c:v>
                  </c:pt>
                  <c:pt idx="19">
                    <c:v>Right Answers</c:v>
                  </c:pt>
                  <c:pt idx="20">
                    <c:v>XRM - HSD Scrum</c:v>
                  </c:pt>
                  <c:pt idx="21">
                    <c:v>XRM - Video Scrum</c:v>
                  </c:pt>
                  <c:pt idx="22">
                    <c:v>XRM - VOIXM Scrum</c:v>
                  </c:pt>
                </c:lvl>
                <c:lvl>
                  <c:pt idx="0">
                    <c:v>Account Services</c:v>
                  </c:pt>
                  <c:pt idx="3">
                    <c:v>Assisted Tools</c:v>
                  </c:pt>
                  <c:pt idx="9">
                    <c:v>BXT</c:v>
                  </c:pt>
                  <c:pt idx="10">
                    <c:v>Field Experience</c:v>
                  </c:pt>
                  <c:pt idx="15">
                    <c:v>Platform</c:v>
                  </c:pt>
                  <c:pt idx="20">
                    <c:v>XRM</c:v>
                  </c:pt>
                </c:lvl>
              </c:multiLvlStrCache>
            </c:multiLvlStrRef>
          </c:cat>
          <c:val>
            <c:numRef>
              <c:f>'Pivot Productivity'!$D$5:$D$34</c:f>
              <c:numCache>
                <c:formatCode>0.0</c:formatCode>
                <c:ptCount val="23"/>
                <c:pt idx="0">
                  <c:v>11.666666666666666</c:v>
                </c:pt>
                <c:pt idx="1">
                  <c:v>7.5</c:v>
                </c:pt>
                <c:pt idx="2">
                  <c:v>11.736111111111112</c:v>
                </c:pt>
                <c:pt idx="3">
                  <c:v>6.208333333333333</c:v>
                </c:pt>
                <c:pt idx="4">
                  <c:v>7.0167948717948727</c:v>
                </c:pt>
                <c:pt idx="5">
                  <c:v>6.1705555555555556</c:v>
                </c:pt>
                <c:pt idx="6">
                  <c:v>7.4375</c:v>
                </c:pt>
                <c:pt idx="7">
                  <c:v>7.6258333333333335</c:v>
                </c:pt>
                <c:pt idx="8">
                  <c:v>8.9816666666666656</c:v>
                </c:pt>
                <c:pt idx="9">
                  <c:v>6.285000000000001</c:v>
                </c:pt>
                <c:pt idx="10">
                  <c:v>8.0599999999999987</c:v>
                </c:pt>
                <c:pt idx="11">
                  <c:v>7.3916666666666666</c:v>
                </c:pt>
                <c:pt idx="12">
                  <c:v>7.7666666666666666</c:v>
                </c:pt>
                <c:pt idx="13">
                  <c:v>5.1245238095238097</c:v>
                </c:pt>
                <c:pt idx="15">
                  <c:v>11.828571428571429</c:v>
                </c:pt>
                <c:pt idx="16">
                  <c:v>8.8733333333333331</c:v>
                </c:pt>
                <c:pt idx="17">
                  <c:v>4.416666666666667</c:v>
                </c:pt>
                <c:pt idx="18">
                  <c:v>3.9066666666666663</c:v>
                </c:pt>
                <c:pt idx="19">
                  <c:v>4.2494444444444444</c:v>
                </c:pt>
                <c:pt idx="20">
                  <c:v>4.8905555555555553</c:v>
                </c:pt>
                <c:pt idx="21">
                  <c:v>6.4148484848484841</c:v>
                </c:pt>
                <c:pt idx="22">
                  <c:v>5.8692424242424233</c:v>
                </c:pt>
              </c:numCache>
            </c:numRef>
          </c:val>
          <c:extLst>
            <c:ext xmlns:c16="http://schemas.microsoft.com/office/drawing/2014/chart" uri="{C3380CC4-5D6E-409C-BE32-E72D297353CC}">
              <c16:uniqueId val="{00000002-1F61-4880-84B4-D979F99DC39C}"/>
            </c:ext>
          </c:extLst>
        </c:ser>
        <c:ser>
          <c:idx val="3"/>
          <c:order val="3"/>
          <c:tx>
            <c:strRef>
              <c:f>'Pivot Productivity'!$E$4</c:f>
              <c:strCache>
                <c:ptCount val="1"/>
                <c:pt idx="0">
                  <c:v>Q2 (SP 7 to 12)</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Productivity'!$A$5:$A$34</c:f>
              <c:multiLvlStrCache>
                <c:ptCount val="23"/>
                <c:lvl>
                  <c:pt idx="0">
                    <c:v>Account Services - BRE</c:v>
                  </c:pt>
                  <c:pt idx="1">
                    <c:v>Account Services - NOW</c:v>
                  </c:pt>
                  <c:pt idx="2">
                    <c:v>Account Services - XM PDF</c:v>
                  </c:pt>
                  <c:pt idx="3">
                    <c:v>CPOS</c:v>
                  </c:pt>
                  <c:pt idx="4">
                    <c:v>XM Velocity 1/Xceeders</c:v>
                  </c:pt>
                  <c:pt idx="5">
                    <c:v>XM Velocity 2/Xplorers</c:v>
                  </c:pt>
                  <c:pt idx="6">
                    <c:v>XM360 CBM/Phoenix</c:v>
                  </c:pt>
                  <c:pt idx="7">
                    <c:v>XM360 Supersonix</c:v>
                  </c:pt>
                  <c:pt idx="8">
                    <c:v>Xumo</c:v>
                  </c:pt>
                  <c:pt idx="9">
                    <c:v>DevOps</c:v>
                  </c:pt>
                  <c:pt idx="10">
                    <c:v>NWT - Core</c:v>
                  </c:pt>
                  <c:pt idx="11">
                    <c:v>NWT - PSNB</c:v>
                  </c:pt>
                  <c:pt idx="12">
                    <c:v>NWT - UI</c:v>
                  </c:pt>
                  <c:pt idx="13">
                    <c:v>NWT-FSM</c:v>
                  </c:pt>
                  <c:pt idx="14">
                    <c:v>NWT-FSM 2 (NOVA)</c:v>
                  </c:pt>
                  <c:pt idx="15">
                    <c:v>Celestial (Titan)</c:v>
                  </c:pt>
                  <c:pt idx="16">
                    <c:v>Celestial (Universal)</c:v>
                  </c:pt>
                  <c:pt idx="17">
                    <c:v>Flow Engine (optimus)</c:v>
                  </c:pt>
                  <c:pt idx="18">
                    <c:v>Flow Engine (prometheus)</c:v>
                  </c:pt>
                  <c:pt idx="19">
                    <c:v>Right Answers</c:v>
                  </c:pt>
                  <c:pt idx="20">
                    <c:v>XRM - HSD Scrum</c:v>
                  </c:pt>
                  <c:pt idx="21">
                    <c:v>XRM - Video Scrum</c:v>
                  </c:pt>
                  <c:pt idx="22">
                    <c:v>XRM - VOIXM Scrum</c:v>
                  </c:pt>
                </c:lvl>
                <c:lvl>
                  <c:pt idx="0">
                    <c:v>Account Services</c:v>
                  </c:pt>
                  <c:pt idx="3">
                    <c:v>Assisted Tools</c:v>
                  </c:pt>
                  <c:pt idx="9">
                    <c:v>BXT</c:v>
                  </c:pt>
                  <c:pt idx="10">
                    <c:v>Field Experience</c:v>
                  </c:pt>
                  <c:pt idx="15">
                    <c:v>Platform</c:v>
                  </c:pt>
                  <c:pt idx="20">
                    <c:v>XRM</c:v>
                  </c:pt>
                </c:lvl>
              </c:multiLvlStrCache>
            </c:multiLvlStrRef>
          </c:cat>
          <c:val>
            <c:numRef>
              <c:f>'Pivot Productivity'!$E$5:$E$34</c:f>
              <c:numCache>
                <c:formatCode>0.0</c:formatCode>
                <c:ptCount val="23"/>
                <c:pt idx="0">
                  <c:v>13.666666666666666</c:v>
                </c:pt>
                <c:pt idx="1">
                  <c:v>10</c:v>
                </c:pt>
                <c:pt idx="2">
                  <c:v>10.174999999999999</c:v>
                </c:pt>
                <c:pt idx="3">
                  <c:v>6.4249999999999998</c:v>
                </c:pt>
                <c:pt idx="4">
                  <c:v>7.2720512820512822</c:v>
                </c:pt>
                <c:pt idx="5">
                  <c:v>6.6085653235396817</c:v>
                </c:pt>
                <c:pt idx="6">
                  <c:v>5.814166666666666</c:v>
                </c:pt>
                <c:pt idx="7">
                  <c:v>7.48</c:v>
                </c:pt>
                <c:pt idx="8">
                  <c:v>10.666666666666666</c:v>
                </c:pt>
                <c:pt idx="9">
                  <c:v>6.7955555555555556</c:v>
                </c:pt>
                <c:pt idx="10">
                  <c:v>4.2966666666666669</c:v>
                </c:pt>
                <c:pt idx="11">
                  <c:v>5.875</c:v>
                </c:pt>
                <c:pt idx="12">
                  <c:v>8.4222222222222225</c:v>
                </c:pt>
                <c:pt idx="13">
                  <c:v>8.0883333333333329</c:v>
                </c:pt>
                <c:pt idx="14">
                  <c:v>5.9722222222222223</c:v>
                </c:pt>
                <c:pt idx="15">
                  <c:v>13.033333333333333</c:v>
                </c:pt>
                <c:pt idx="16">
                  <c:v>9.4514285713571429</c:v>
                </c:pt>
                <c:pt idx="17">
                  <c:v>4.291666666666667</c:v>
                </c:pt>
                <c:pt idx="18">
                  <c:v>4.6011111111296303</c:v>
                </c:pt>
                <c:pt idx="19">
                  <c:v>10</c:v>
                </c:pt>
                <c:pt idx="20">
                  <c:v>5.6742424242424248</c:v>
                </c:pt>
                <c:pt idx="21">
                  <c:v>6.3919696970151518</c:v>
                </c:pt>
                <c:pt idx="22">
                  <c:v>5.8666666666666671</c:v>
                </c:pt>
              </c:numCache>
            </c:numRef>
          </c:val>
          <c:extLst>
            <c:ext xmlns:c16="http://schemas.microsoft.com/office/drawing/2014/chart" uri="{C3380CC4-5D6E-409C-BE32-E72D297353CC}">
              <c16:uniqueId val="{00000003-1F61-4880-84B4-D979F99DC39C}"/>
            </c:ext>
          </c:extLst>
        </c:ser>
        <c:ser>
          <c:idx val="4"/>
          <c:order val="4"/>
          <c:tx>
            <c:strRef>
              <c:f>'Pivot Productivity'!$F$4</c:f>
              <c:strCache>
                <c:ptCount val="1"/>
                <c:pt idx="0">
                  <c:v>Q3 (SP 13 to 15)</c:v>
                </c:pt>
              </c:strCache>
            </c:strRef>
          </c:tx>
          <c:spPr>
            <a:solidFill>
              <a:schemeClr val="accent5"/>
            </a:solidFill>
            <a:ln>
              <a:noFill/>
            </a:ln>
            <a:effectLst/>
          </c:spPr>
          <c:invertIfNegative val="0"/>
          <c:cat>
            <c:multiLvlStrRef>
              <c:f>'Pivot Productivity'!$A$5:$A$34</c:f>
              <c:multiLvlStrCache>
                <c:ptCount val="23"/>
                <c:lvl>
                  <c:pt idx="0">
                    <c:v>Account Services - BRE</c:v>
                  </c:pt>
                  <c:pt idx="1">
                    <c:v>Account Services - NOW</c:v>
                  </c:pt>
                  <c:pt idx="2">
                    <c:v>Account Services - XM PDF</c:v>
                  </c:pt>
                  <c:pt idx="3">
                    <c:v>CPOS</c:v>
                  </c:pt>
                  <c:pt idx="4">
                    <c:v>XM Velocity 1/Xceeders</c:v>
                  </c:pt>
                  <c:pt idx="5">
                    <c:v>XM Velocity 2/Xplorers</c:v>
                  </c:pt>
                  <c:pt idx="6">
                    <c:v>XM360 CBM/Phoenix</c:v>
                  </c:pt>
                  <c:pt idx="7">
                    <c:v>XM360 Supersonix</c:v>
                  </c:pt>
                  <c:pt idx="8">
                    <c:v>Xumo</c:v>
                  </c:pt>
                  <c:pt idx="9">
                    <c:v>DevOps</c:v>
                  </c:pt>
                  <c:pt idx="10">
                    <c:v>NWT - Core</c:v>
                  </c:pt>
                  <c:pt idx="11">
                    <c:v>NWT - PSNB</c:v>
                  </c:pt>
                  <c:pt idx="12">
                    <c:v>NWT - UI</c:v>
                  </c:pt>
                  <c:pt idx="13">
                    <c:v>NWT-FSM</c:v>
                  </c:pt>
                  <c:pt idx="14">
                    <c:v>NWT-FSM 2 (NOVA)</c:v>
                  </c:pt>
                  <c:pt idx="15">
                    <c:v>Celestial (Titan)</c:v>
                  </c:pt>
                  <c:pt idx="16">
                    <c:v>Celestial (Universal)</c:v>
                  </c:pt>
                  <c:pt idx="17">
                    <c:v>Flow Engine (optimus)</c:v>
                  </c:pt>
                  <c:pt idx="18">
                    <c:v>Flow Engine (prometheus)</c:v>
                  </c:pt>
                  <c:pt idx="19">
                    <c:v>Right Answers</c:v>
                  </c:pt>
                  <c:pt idx="20">
                    <c:v>XRM - HSD Scrum</c:v>
                  </c:pt>
                  <c:pt idx="21">
                    <c:v>XRM - Video Scrum</c:v>
                  </c:pt>
                  <c:pt idx="22">
                    <c:v>XRM - VOIXM Scrum</c:v>
                  </c:pt>
                </c:lvl>
                <c:lvl>
                  <c:pt idx="0">
                    <c:v>Account Services</c:v>
                  </c:pt>
                  <c:pt idx="3">
                    <c:v>Assisted Tools</c:v>
                  </c:pt>
                  <c:pt idx="9">
                    <c:v>BXT</c:v>
                  </c:pt>
                  <c:pt idx="10">
                    <c:v>Field Experience</c:v>
                  </c:pt>
                  <c:pt idx="15">
                    <c:v>Platform</c:v>
                  </c:pt>
                  <c:pt idx="20">
                    <c:v>XRM</c:v>
                  </c:pt>
                </c:lvl>
              </c:multiLvlStrCache>
            </c:multiLvlStrRef>
          </c:cat>
          <c:val>
            <c:numRef>
              <c:f>'Pivot Productivity'!$F$5:$F$34</c:f>
              <c:numCache>
                <c:formatCode>0.0</c:formatCode>
                <c:ptCount val="23"/>
                <c:pt idx="0">
                  <c:v>11.5</c:v>
                </c:pt>
                <c:pt idx="2">
                  <c:v>9.2666666666666675</c:v>
                </c:pt>
                <c:pt idx="3">
                  <c:v>5.083333333333333</c:v>
                </c:pt>
                <c:pt idx="4">
                  <c:v>7.8500000000000005</c:v>
                </c:pt>
                <c:pt idx="6">
                  <c:v>5.2949999999999999</c:v>
                </c:pt>
                <c:pt idx="7">
                  <c:v>5.376666666666666</c:v>
                </c:pt>
                <c:pt idx="8">
                  <c:v>11.6</c:v>
                </c:pt>
                <c:pt idx="9">
                  <c:v>9.17</c:v>
                </c:pt>
                <c:pt idx="11">
                  <c:v>5.5</c:v>
                </c:pt>
                <c:pt idx="12">
                  <c:v>8.11</c:v>
                </c:pt>
                <c:pt idx="13">
                  <c:v>9.0333333333333332</c:v>
                </c:pt>
                <c:pt idx="14">
                  <c:v>7</c:v>
                </c:pt>
                <c:pt idx="15">
                  <c:v>14.066666666666668</c:v>
                </c:pt>
                <c:pt idx="16">
                  <c:v>10.190952380000001</c:v>
                </c:pt>
                <c:pt idx="17">
                  <c:v>4.5</c:v>
                </c:pt>
                <c:pt idx="18">
                  <c:v>5.408888889</c:v>
                </c:pt>
                <c:pt idx="19">
                  <c:v>10</c:v>
                </c:pt>
                <c:pt idx="20">
                  <c:v>4.6333333333333337</c:v>
                </c:pt>
                <c:pt idx="21">
                  <c:v>7.0603030303333334</c:v>
                </c:pt>
                <c:pt idx="22">
                  <c:v>5.5666666666666673</c:v>
                </c:pt>
              </c:numCache>
            </c:numRef>
          </c:val>
          <c:extLst>
            <c:ext xmlns:c16="http://schemas.microsoft.com/office/drawing/2014/chart" uri="{C3380CC4-5D6E-409C-BE32-E72D297353CC}">
              <c16:uniqueId val="{00000000-5136-4F40-961D-DAF5F0076A09}"/>
            </c:ext>
          </c:extLst>
        </c:ser>
        <c:dLbls>
          <c:showLegendKey val="0"/>
          <c:showVal val="0"/>
          <c:showCatName val="0"/>
          <c:showSerName val="0"/>
          <c:showPercent val="0"/>
          <c:showBubbleSize val="0"/>
        </c:dLbls>
        <c:gapWidth val="219"/>
        <c:overlap val="-27"/>
        <c:axId val="1114605759"/>
        <c:axId val="1114622559"/>
      </c:barChart>
      <c:catAx>
        <c:axId val="1114605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14622559"/>
        <c:crosses val="autoZero"/>
        <c:auto val="1"/>
        <c:lblAlgn val="ctr"/>
        <c:lblOffset val="100"/>
        <c:noMultiLvlLbl val="0"/>
      </c:catAx>
      <c:valAx>
        <c:axId val="111462255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146057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[Late.xlsx]Pivot Velocity!PivotTable2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Velocity'!$B$4</c:f>
              <c:strCache>
                <c:ptCount val="1"/>
                <c:pt idx="0">
                  <c:v>USP / SP in Q4 (SP 20 to 26)</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Velocity'!$A$5:$A$11</c:f>
              <c:strCache>
                <c:ptCount val="6"/>
                <c:pt idx="0">
                  <c:v>Account Services</c:v>
                </c:pt>
                <c:pt idx="1">
                  <c:v>Assisted Tools</c:v>
                </c:pt>
                <c:pt idx="2">
                  <c:v>BXT</c:v>
                </c:pt>
                <c:pt idx="3">
                  <c:v>Field Experience</c:v>
                </c:pt>
                <c:pt idx="4">
                  <c:v>Platform</c:v>
                </c:pt>
                <c:pt idx="5">
                  <c:v>XRM</c:v>
                </c:pt>
              </c:strCache>
            </c:strRef>
          </c:cat>
          <c:val>
            <c:numRef>
              <c:f>'Pivot Velocity'!$B$5:$B$11</c:f>
              <c:numCache>
                <c:formatCode>0</c:formatCode>
                <c:ptCount val="6"/>
                <c:pt idx="0">
                  <c:v>71.571428571428584</c:v>
                </c:pt>
                <c:pt idx="1">
                  <c:v>249.8095238095238</c:v>
                </c:pt>
                <c:pt idx="2">
                  <c:v>44.714285714285715</c:v>
                </c:pt>
                <c:pt idx="3">
                  <c:v>180.97142857142856</c:v>
                </c:pt>
                <c:pt idx="4">
                  <c:v>170.28571428571428</c:v>
                </c:pt>
                <c:pt idx="5">
                  <c:v>175.57142857142856</c:v>
                </c:pt>
              </c:numCache>
            </c:numRef>
          </c:val>
          <c:extLst>
            <c:ext xmlns:c16="http://schemas.microsoft.com/office/drawing/2014/chart" uri="{C3380CC4-5D6E-409C-BE32-E72D297353CC}">
              <c16:uniqueId val="{00000001-5570-4FB3-8B23-D2B4B9F08901}"/>
            </c:ext>
          </c:extLst>
        </c:ser>
        <c:ser>
          <c:idx val="1"/>
          <c:order val="1"/>
          <c:tx>
            <c:strRef>
              <c:f>'Pivot Velocity'!$C$4</c:f>
              <c:strCache>
                <c:ptCount val="1"/>
                <c:pt idx="0">
                  <c:v>USP / SP in Q1  (SP 1 to 6)</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Velocity'!$A$5:$A$11</c:f>
              <c:strCache>
                <c:ptCount val="6"/>
                <c:pt idx="0">
                  <c:v>Account Services</c:v>
                </c:pt>
                <c:pt idx="1">
                  <c:v>Assisted Tools</c:v>
                </c:pt>
                <c:pt idx="2">
                  <c:v>BXT</c:v>
                </c:pt>
                <c:pt idx="3">
                  <c:v>Field Experience</c:v>
                </c:pt>
                <c:pt idx="4">
                  <c:v>Platform</c:v>
                </c:pt>
                <c:pt idx="5">
                  <c:v>XRM</c:v>
                </c:pt>
              </c:strCache>
            </c:strRef>
          </c:cat>
          <c:val>
            <c:numRef>
              <c:f>'Pivot Velocity'!$C$5:$C$11</c:f>
              <c:numCache>
                <c:formatCode>0</c:formatCode>
                <c:ptCount val="6"/>
                <c:pt idx="0">
                  <c:v>65</c:v>
                </c:pt>
                <c:pt idx="1">
                  <c:v>279</c:v>
                </c:pt>
                <c:pt idx="2">
                  <c:v>57.166666666666664</c:v>
                </c:pt>
                <c:pt idx="3">
                  <c:v>132.41666666666666</c:v>
                </c:pt>
                <c:pt idx="4">
                  <c:v>180.66666666666669</c:v>
                </c:pt>
                <c:pt idx="5">
                  <c:v>188</c:v>
                </c:pt>
              </c:numCache>
            </c:numRef>
          </c:val>
          <c:extLst>
            <c:ext xmlns:c16="http://schemas.microsoft.com/office/drawing/2014/chart" uri="{C3380CC4-5D6E-409C-BE32-E72D297353CC}">
              <c16:uniqueId val="{00000002-5570-4FB3-8B23-D2B4B9F08901}"/>
            </c:ext>
          </c:extLst>
        </c:ser>
        <c:ser>
          <c:idx val="2"/>
          <c:order val="2"/>
          <c:tx>
            <c:strRef>
              <c:f>'Pivot Velocity'!$D$4</c:f>
              <c:strCache>
                <c:ptCount val="1"/>
                <c:pt idx="0">
                  <c:v>USP / SP in Q2 (SP 7 to 12)</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Velocity'!$A$5:$A$11</c:f>
              <c:strCache>
                <c:ptCount val="6"/>
                <c:pt idx="0">
                  <c:v>Account Services</c:v>
                </c:pt>
                <c:pt idx="1">
                  <c:v>Assisted Tools</c:v>
                </c:pt>
                <c:pt idx="2">
                  <c:v>BXT</c:v>
                </c:pt>
                <c:pt idx="3">
                  <c:v>Field Experience</c:v>
                </c:pt>
                <c:pt idx="4">
                  <c:v>Platform</c:v>
                </c:pt>
                <c:pt idx="5">
                  <c:v>XRM</c:v>
                </c:pt>
              </c:strCache>
            </c:strRef>
          </c:cat>
          <c:val>
            <c:numRef>
              <c:f>'Pivot Velocity'!$D$5:$D$11</c:f>
              <c:numCache>
                <c:formatCode>0</c:formatCode>
                <c:ptCount val="6"/>
                <c:pt idx="0">
                  <c:v>81.333333333333329</c:v>
                </c:pt>
                <c:pt idx="1">
                  <c:v>271.58333333333337</c:v>
                </c:pt>
                <c:pt idx="2">
                  <c:v>61.166666666666664</c:v>
                </c:pt>
                <c:pt idx="3">
                  <c:v>111.58333333333333</c:v>
                </c:pt>
                <c:pt idx="4">
                  <c:v>201.33333333333334</c:v>
                </c:pt>
                <c:pt idx="5">
                  <c:v>180.01666666666668</c:v>
                </c:pt>
              </c:numCache>
            </c:numRef>
          </c:val>
          <c:extLst>
            <c:ext xmlns:c16="http://schemas.microsoft.com/office/drawing/2014/chart" uri="{C3380CC4-5D6E-409C-BE32-E72D297353CC}">
              <c16:uniqueId val="{00000005-5570-4FB3-8B23-D2B4B9F08901}"/>
            </c:ext>
          </c:extLst>
        </c:ser>
        <c:ser>
          <c:idx val="3"/>
          <c:order val="3"/>
          <c:tx>
            <c:strRef>
              <c:f>'Pivot Velocity'!$E$4</c:f>
              <c:strCache>
                <c:ptCount val="1"/>
                <c:pt idx="0">
                  <c:v>USP / SP in Q3 (SP 13 to 15)</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Velocity'!$A$5:$A$11</c:f>
              <c:strCache>
                <c:ptCount val="6"/>
                <c:pt idx="0">
                  <c:v>Account Services</c:v>
                </c:pt>
                <c:pt idx="1">
                  <c:v>Assisted Tools</c:v>
                </c:pt>
                <c:pt idx="2">
                  <c:v>BXT</c:v>
                </c:pt>
                <c:pt idx="3">
                  <c:v>Field Experience</c:v>
                </c:pt>
                <c:pt idx="4">
                  <c:v>Platform</c:v>
                </c:pt>
                <c:pt idx="5">
                  <c:v>XRM</c:v>
                </c:pt>
              </c:strCache>
            </c:strRef>
          </c:cat>
          <c:val>
            <c:numRef>
              <c:f>'Pivot Velocity'!$E$5:$E$11</c:f>
              <c:numCache>
                <c:formatCode>0</c:formatCode>
                <c:ptCount val="6"/>
                <c:pt idx="0">
                  <c:v>69.333333333333343</c:v>
                </c:pt>
                <c:pt idx="1">
                  <c:v>260.16666666666669</c:v>
                </c:pt>
                <c:pt idx="2">
                  <c:v>82.5</c:v>
                </c:pt>
                <c:pt idx="3">
                  <c:v>110.66666666666666</c:v>
                </c:pt>
                <c:pt idx="4">
                  <c:v>209.66666666666666</c:v>
                </c:pt>
                <c:pt idx="5">
                  <c:v>179.66666666666669</c:v>
                </c:pt>
              </c:numCache>
            </c:numRef>
          </c:val>
          <c:extLst>
            <c:ext xmlns:c16="http://schemas.microsoft.com/office/drawing/2014/chart" uri="{C3380CC4-5D6E-409C-BE32-E72D297353CC}">
              <c16:uniqueId val="{00000002-C170-42E5-952C-567DBA9DA76C}"/>
            </c:ext>
          </c:extLst>
        </c:ser>
        <c:dLbls>
          <c:dLblPos val="outEnd"/>
          <c:showLegendKey val="0"/>
          <c:showVal val="1"/>
          <c:showCatName val="0"/>
          <c:showSerName val="0"/>
          <c:showPercent val="0"/>
          <c:showBubbleSize val="0"/>
        </c:dLbls>
        <c:gapWidth val="219"/>
        <c:overlap val="-27"/>
        <c:axId val="1765534768"/>
        <c:axId val="1765533808"/>
      </c:barChart>
      <c:catAx>
        <c:axId val="1765534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65533808"/>
        <c:crosses val="autoZero"/>
        <c:auto val="1"/>
        <c:lblAlgn val="ctr"/>
        <c:lblOffset val="100"/>
        <c:noMultiLvlLbl val="0"/>
      </c:catAx>
      <c:valAx>
        <c:axId val="17655338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655347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[Late.xlsx]Pivot Predictability!PivotTable4</c:name>
    <c:fmtId val="5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Predictability'!$B$4</c:f>
              <c:strCache>
                <c:ptCount val="1"/>
                <c:pt idx="0">
                  <c:v>Q4 (SP 20 to 26)</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Predictability'!$A$5:$A$11</c:f>
              <c:strCache>
                <c:ptCount val="6"/>
                <c:pt idx="0">
                  <c:v>Account Services</c:v>
                </c:pt>
                <c:pt idx="1">
                  <c:v>Assisted Tools</c:v>
                </c:pt>
                <c:pt idx="2">
                  <c:v>BXT</c:v>
                </c:pt>
                <c:pt idx="3">
                  <c:v>Field Experience</c:v>
                </c:pt>
                <c:pt idx="4">
                  <c:v>Platform</c:v>
                </c:pt>
                <c:pt idx="5">
                  <c:v>XRM</c:v>
                </c:pt>
              </c:strCache>
            </c:strRef>
          </c:cat>
          <c:val>
            <c:numRef>
              <c:f>'Pivot Predictability'!$B$5:$B$11</c:f>
              <c:numCache>
                <c:formatCode>0%</c:formatCode>
                <c:ptCount val="6"/>
                <c:pt idx="0">
                  <c:v>1.0575000000000001</c:v>
                </c:pt>
                <c:pt idx="1">
                  <c:v>1.2426042884570767</c:v>
                </c:pt>
                <c:pt idx="2">
                  <c:v>0.8927789046653144</c:v>
                </c:pt>
                <c:pt idx="3">
                  <c:v>1.047197277011739</c:v>
                </c:pt>
                <c:pt idx="4">
                  <c:v>1.1925045575360196</c:v>
                </c:pt>
                <c:pt idx="5">
                  <c:v>0.95903050075596497</c:v>
                </c:pt>
              </c:numCache>
            </c:numRef>
          </c:val>
          <c:extLst>
            <c:ext xmlns:c16="http://schemas.microsoft.com/office/drawing/2014/chart" uri="{C3380CC4-5D6E-409C-BE32-E72D297353CC}">
              <c16:uniqueId val="{00000000-04AE-4D45-B3D2-CB327B85866C}"/>
            </c:ext>
          </c:extLst>
        </c:ser>
        <c:ser>
          <c:idx val="1"/>
          <c:order val="1"/>
          <c:tx>
            <c:strRef>
              <c:f>'Pivot Predictability'!$C$4</c:f>
              <c:strCache>
                <c:ptCount val="1"/>
                <c:pt idx="0">
                  <c:v>Q1 (SP 1 to 6)</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Predictability'!$A$5:$A$11</c:f>
              <c:strCache>
                <c:ptCount val="6"/>
                <c:pt idx="0">
                  <c:v>Account Services</c:v>
                </c:pt>
                <c:pt idx="1">
                  <c:v>Assisted Tools</c:v>
                </c:pt>
                <c:pt idx="2">
                  <c:v>BXT</c:v>
                </c:pt>
                <c:pt idx="3">
                  <c:v>Field Experience</c:v>
                </c:pt>
                <c:pt idx="4">
                  <c:v>Platform</c:v>
                </c:pt>
                <c:pt idx="5">
                  <c:v>XRM</c:v>
                </c:pt>
              </c:strCache>
            </c:strRef>
          </c:cat>
          <c:val>
            <c:numRef>
              <c:f>'Pivot Predictability'!$C$5:$C$11</c:f>
              <c:numCache>
                <c:formatCode>0%</c:formatCode>
                <c:ptCount val="6"/>
                <c:pt idx="0">
                  <c:v>0.99250000000000005</c:v>
                </c:pt>
                <c:pt idx="1">
                  <c:v>1.1801851851851852</c:v>
                </c:pt>
                <c:pt idx="2">
                  <c:v>0.97833333333333339</c:v>
                </c:pt>
                <c:pt idx="3">
                  <c:v>0.96</c:v>
                </c:pt>
                <c:pt idx="4">
                  <c:v>1.3946666666666667</c:v>
                </c:pt>
                <c:pt idx="5">
                  <c:v>1.0016666666666667</c:v>
                </c:pt>
              </c:numCache>
            </c:numRef>
          </c:val>
          <c:extLst>
            <c:ext xmlns:c16="http://schemas.microsoft.com/office/drawing/2014/chart" uri="{C3380CC4-5D6E-409C-BE32-E72D297353CC}">
              <c16:uniqueId val="{00000001-04AE-4D45-B3D2-CB327B85866C}"/>
            </c:ext>
          </c:extLst>
        </c:ser>
        <c:ser>
          <c:idx val="2"/>
          <c:order val="2"/>
          <c:tx>
            <c:strRef>
              <c:f>'Pivot Predictability'!$D$4</c:f>
              <c:strCache>
                <c:ptCount val="1"/>
                <c:pt idx="0">
                  <c:v>Q2(SP 7 to 12)</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Predictability'!$A$5:$A$11</c:f>
              <c:strCache>
                <c:ptCount val="6"/>
                <c:pt idx="0">
                  <c:v>Account Services</c:v>
                </c:pt>
                <c:pt idx="1">
                  <c:v>Assisted Tools</c:v>
                </c:pt>
                <c:pt idx="2">
                  <c:v>BXT</c:v>
                </c:pt>
                <c:pt idx="3">
                  <c:v>Field Experience</c:v>
                </c:pt>
                <c:pt idx="4">
                  <c:v>Platform</c:v>
                </c:pt>
                <c:pt idx="5">
                  <c:v>XRM</c:v>
                </c:pt>
              </c:strCache>
            </c:strRef>
          </c:cat>
          <c:val>
            <c:numRef>
              <c:f>'Pivot Predictability'!$D$5:$D$11</c:f>
              <c:numCache>
                <c:formatCode>0%</c:formatCode>
                <c:ptCount val="6"/>
                <c:pt idx="0">
                  <c:v>1.0185185185185184</c:v>
                </c:pt>
                <c:pt idx="1">
                  <c:v>1.1861214982429773</c:v>
                </c:pt>
                <c:pt idx="2">
                  <c:v>0.95076923076923081</c:v>
                </c:pt>
                <c:pt idx="3">
                  <c:v>0.91725728550989771</c:v>
                </c:pt>
                <c:pt idx="4">
                  <c:v>1.0952768879469628</c:v>
                </c:pt>
                <c:pt idx="5">
                  <c:v>0.97370306319835442</c:v>
                </c:pt>
              </c:numCache>
            </c:numRef>
          </c:val>
          <c:extLst>
            <c:ext xmlns:c16="http://schemas.microsoft.com/office/drawing/2014/chart" uri="{C3380CC4-5D6E-409C-BE32-E72D297353CC}">
              <c16:uniqueId val="{00000002-04AE-4D45-B3D2-CB327B85866C}"/>
            </c:ext>
          </c:extLst>
        </c:ser>
        <c:ser>
          <c:idx val="3"/>
          <c:order val="3"/>
          <c:tx>
            <c:strRef>
              <c:f>'Pivot Predictability'!$E$4</c:f>
              <c:strCache>
                <c:ptCount val="1"/>
                <c:pt idx="0">
                  <c:v>Q3(SP 13 to 15)</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Predictability'!$A$5:$A$11</c:f>
              <c:strCache>
                <c:ptCount val="6"/>
                <c:pt idx="0">
                  <c:v>Account Services</c:v>
                </c:pt>
                <c:pt idx="1">
                  <c:v>Assisted Tools</c:v>
                </c:pt>
                <c:pt idx="2">
                  <c:v>BXT</c:v>
                </c:pt>
                <c:pt idx="3">
                  <c:v>Field Experience</c:v>
                </c:pt>
                <c:pt idx="4">
                  <c:v>Platform</c:v>
                </c:pt>
                <c:pt idx="5">
                  <c:v>XRM</c:v>
                </c:pt>
              </c:strCache>
            </c:strRef>
          </c:cat>
          <c:val>
            <c:numRef>
              <c:f>'Pivot Predictability'!$E$5:$E$11</c:f>
              <c:numCache>
                <c:formatCode>0%</c:formatCode>
                <c:ptCount val="6"/>
                <c:pt idx="0">
                  <c:v>0.93500000000000005</c:v>
                </c:pt>
                <c:pt idx="1">
                  <c:v>1.0055555555555555</c:v>
                </c:pt>
                <c:pt idx="2">
                  <c:v>0.96500000000000008</c:v>
                </c:pt>
                <c:pt idx="3">
                  <c:v>1.3633333333333333</c:v>
                </c:pt>
                <c:pt idx="4">
                  <c:v>0.97866666666666668</c:v>
                </c:pt>
                <c:pt idx="5">
                  <c:v>0.96888888888888891</c:v>
                </c:pt>
              </c:numCache>
            </c:numRef>
          </c:val>
          <c:extLst>
            <c:ext xmlns:c16="http://schemas.microsoft.com/office/drawing/2014/chart" uri="{C3380CC4-5D6E-409C-BE32-E72D297353CC}">
              <c16:uniqueId val="{00000001-362B-4204-B4BC-DFFE418E258B}"/>
            </c:ext>
          </c:extLst>
        </c:ser>
        <c:dLbls>
          <c:dLblPos val="outEnd"/>
          <c:showLegendKey val="0"/>
          <c:showVal val="1"/>
          <c:showCatName val="0"/>
          <c:showSerName val="0"/>
          <c:showPercent val="0"/>
          <c:showBubbleSize val="0"/>
        </c:dLbls>
        <c:gapWidth val="219"/>
        <c:overlap val="-27"/>
        <c:axId val="1529396864"/>
        <c:axId val="1529404064"/>
      </c:barChart>
      <c:catAx>
        <c:axId val="152939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29404064"/>
        <c:crosses val="autoZero"/>
        <c:auto val="1"/>
        <c:lblAlgn val="ctr"/>
        <c:lblOffset val="100"/>
        <c:noMultiLvlLbl val="0"/>
      </c:catAx>
      <c:valAx>
        <c:axId val="15294040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293968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[Late.xlsx]Pivot PRD Defect Density!PivotTable3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PRD Defect Density'!$B$3</c:f>
              <c:strCache>
                <c:ptCount val="1"/>
                <c:pt idx="0">
                  <c:v>Average of Avg PRD Defect Density %  Q1 (SP 1 to 6)</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PRD Defect Density'!$A$4:$A$7</c:f>
              <c:strCache>
                <c:ptCount val="3"/>
                <c:pt idx="0">
                  <c:v>CEUI</c:v>
                </c:pt>
                <c:pt idx="1">
                  <c:v>Field experience </c:v>
                </c:pt>
                <c:pt idx="2">
                  <c:v>Payment &amp; Billing  </c:v>
                </c:pt>
              </c:strCache>
            </c:strRef>
          </c:cat>
          <c:val>
            <c:numRef>
              <c:f>'Pivot PRD Defect Density'!$B$4:$B$7</c:f>
              <c:numCache>
                <c:formatCode>0.00%</c:formatCode>
                <c:ptCount val="3"/>
                <c:pt idx="0">
                  <c:v>1.3987187150052238E-2</c:v>
                </c:pt>
                <c:pt idx="1">
                  <c:v>3.0897207367795603E-3</c:v>
                </c:pt>
                <c:pt idx="2">
                  <c:v>0</c:v>
                </c:pt>
              </c:numCache>
            </c:numRef>
          </c:val>
          <c:extLst>
            <c:ext xmlns:c16="http://schemas.microsoft.com/office/drawing/2014/chart" uri="{C3380CC4-5D6E-409C-BE32-E72D297353CC}">
              <c16:uniqueId val="{00000003-F42A-4FEB-A5CD-B7AFBC9B3522}"/>
            </c:ext>
          </c:extLst>
        </c:ser>
        <c:ser>
          <c:idx val="1"/>
          <c:order val="1"/>
          <c:tx>
            <c:strRef>
              <c:f>'Pivot PRD Defect Density'!$C$3</c:f>
              <c:strCache>
                <c:ptCount val="1"/>
                <c:pt idx="0">
                  <c:v>Average of Avg PRD Defect Density %  Q2 (SP 7 to 12)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PRD Defect Density'!$A$4:$A$7</c:f>
              <c:strCache>
                <c:ptCount val="3"/>
                <c:pt idx="0">
                  <c:v>CEUI</c:v>
                </c:pt>
                <c:pt idx="1">
                  <c:v>Field experience </c:v>
                </c:pt>
                <c:pt idx="2">
                  <c:v>Payment &amp; Billing  </c:v>
                </c:pt>
              </c:strCache>
            </c:strRef>
          </c:cat>
          <c:val>
            <c:numRef>
              <c:f>'Pivot PRD Defect Density'!$C$4:$C$7</c:f>
              <c:numCache>
                <c:formatCode>0.00%</c:formatCode>
                <c:ptCount val="3"/>
                <c:pt idx="0">
                  <c:v>1.6490940792842565E-2</c:v>
                </c:pt>
                <c:pt idx="1">
                  <c:v>0</c:v>
                </c:pt>
                <c:pt idx="2">
                  <c:v>0</c:v>
                </c:pt>
              </c:numCache>
            </c:numRef>
          </c:val>
          <c:extLst>
            <c:ext xmlns:c16="http://schemas.microsoft.com/office/drawing/2014/chart" uri="{C3380CC4-5D6E-409C-BE32-E72D297353CC}">
              <c16:uniqueId val="{00000004-F42A-4FEB-A5CD-B7AFBC9B3522}"/>
            </c:ext>
          </c:extLst>
        </c:ser>
        <c:dLbls>
          <c:dLblPos val="outEnd"/>
          <c:showLegendKey val="0"/>
          <c:showVal val="1"/>
          <c:showCatName val="0"/>
          <c:showSerName val="0"/>
          <c:showPercent val="0"/>
          <c:showBubbleSize val="0"/>
        </c:dLbls>
        <c:gapWidth val="219"/>
        <c:overlap val="-27"/>
        <c:axId val="1796471424"/>
        <c:axId val="1796468544"/>
      </c:barChart>
      <c:catAx>
        <c:axId val="179647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96468544"/>
        <c:crosses val="autoZero"/>
        <c:auto val="1"/>
        <c:lblAlgn val="ctr"/>
        <c:lblOffset val="100"/>
        <c:noMultiLvlLbl val="0"/>
      </c:catAx>
      <c:valAx>
        <c:axId val="17964685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964714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[Late.xlsx]Pivot Defects!PivotTable4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Defects'!$B$3</c:f>
              <c:strCache>
                <c:ptCount val="1"/>
                <c:pt idx="0">
                  <c:v>Q1 (SP 1 to 6)</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Defects'!$A$4:$A$7</c:f>
              <c:strCache>
                <c:ptCount val="3"/>
                <c:pt idx="0">
                  <c:v>CEUI</c:v>
                </c:pt>
                <c:pt idx="1">
                  <c:v>Field experience </c:v>
                </c:pt>
                <c:pt idx="2">
                  <c:v>Payment &amp; Billing  </c:v>
                </c:pt>
              </c:strCache>
            </c:strRef>
          </c:cat>
          <c:val>
            <c:numRef>
              <c:f>'Pivot Defects'!$B$4:$B$7</c:f>
              <c:numCache>
                <c:formatCode>0.0</c:formatCode>
                <c:ptCount val="3"/>
                <c:pt idx="0">
                  <c:v>7.3939393939393936</c:v>
                </c:pt>
                <c:pt idx="1">
                  <c:v>1.5583333333333333</c:v>
                </c:pt>
                <c:pt idx="2">
                  <c:v>0.21428571428571427</c:v>
                </c:pt>
              </c:numCache>
            </c:numRef>
          </c:val>
          <c:extLst>
            <c:ext xmlns:c16="http://schemas.microsoft.com/office/drawing/2014/chart" uri="{C3380CC4-5D6E-409C-BE32-E72D297353CC}">
              <c16:uniqueId val="{00000000-EA2E-405C-92B6-2362EC10B649}"/>
            </c:ext>
          </c:extLst>
        </c:ser>
        <c:ser>
          <c:idx val="1"/>
          <c:order val="1"/>
          <c:tx>
            <c:strRef>
              <c:f>'Pivot Defects'!$C$3</c:f>
              <c:strCache>
                <c:ptCount val="1"/>
                <c:pt idx="0">
                  <c:v>Q2 (SP 7 to 12)</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Defects'!$A$4:$A$7</c:f>
              <c:strCache>
                <c:ptCount val="3"/>
                <c:pt idx="0">
                  <c:v>CEUI</c:v>
                </c:pt>
                <c:pt idx="1">
                  <c:v>Field experience </c:v>
                </c:pt>
                <c:pt idx="2">
                  <c:v>Payment &amp; Billing  </c:v>
                </c:pt>
              </c:strCache>
            </c:strRef>
          </c:cat>
          <c:val>
            <c:numRef>
              <c:f>'Pivot Defects'!$C$4:$C$7</c:f>
              <c:numCache>
                <c:formatCode>0.0</c:formatCode>
                <c:ptCount val="3"/>
                <c:pt idx="0">
                  <c:v>5.672727272727272</c:v>
                </c:pt>
                <c:pt idx="1">
                  <c:v>0.8</c:v>
                </c:pt>
                <c:pt idx="2">
                  <c:v>0</c:v>
                </c:pt>
              </c:numCache>
            </c:numRef>
          </c:val>
          <c:extLst>
            <c:ext xmlns:c16="http://schemas.microsoft.com/office/drawing/2014/chart" uri="{C3380CC4-5D6E-409C-BE32-E72D297353CC}">
              <c16:uniqueId val="{00000001-EA2E-405C-92B6-2362EC10B649}"/>
            </c:ext>
          </c:extLst>
        </c:ser>
        <c:dLbls>
          <c:dLblPos val="outEnd"/>
          <c:showLegendKey val="0"/>
          <c:showVal val="1"/>
          <c:showCatName val="0"/>
          <c:showSerName val="0"/>
          <c:showPercent val="0"/>
          <c:showBubbleSize val="0"/>
        </c:dLbls>
        <c:gapWidth val="219"/>
        <c:overlap val="-27"/>
        <c:axId val="1810102400"/>
        <c:axId val="1810100480"/>
      </c:barChart>
      <c:catAx>
        <c:axId val="1810102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10100480"/>
        <c:crosses val="autoZero"/>
        <c:auto val="1"/>
        <c:lblAlgn val="ctr"/>
        <c:lblOffset val="100"/>
        <c:noMultiLvlLbl val="0"/>
      </c:catAx>
      <c:valAx>
        <c:axId val="181010048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101024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Productivity, Velocity and FTE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Review4!$C$1</c:f>
              <c:strCache>
                <c:ptCount val="1"/>
                <c:pt idx="0">
                  <c:v>Velocity</c:v>
                </c:pt>
              </c:strCache>
            </c:strRef>
          </c:tx>
          <c:spPr>
            <a:solidFill>
              <a:srgbClr val="4472C4"/>
            </a:solidFill>
            <a:ln>
              <a:solidFill>
                <a:srgbClr val="4472C4"/>
              </a:solidFill>
              <a:prstDash val="soli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Review4!$A$2:$A$10</c:f>
              <c:strCache>
                <c:ptCount val="9"/>
                <c:pt idx="0">
                  <c:v>Oct’25</c:v>
                </c:pt>
                <c:pt idx="1">
                  <c:v>Nov’25</c:v>
                </c:pt>
                <c:pt idx="2">
                  <c:v>Dec’25</c:v>
                </c:pt>
                <c:pt idx="3">
                  <c:v>Jan’26</c:v>
                </c:pt>
                <c:pt idx="4">
                  <c:v>Feb’26</c:v>
                </c:pt>
                <c:pt idx="5">
                  <c:v>Mar’26</c:v>
                </c:pt>
                <c:pt idx="6">
                  <c:v>Apr’26</c:v>
                </c:pt>
                <c:pt idx="7">
                  <c:v>May’26</c:v>
                </c:pt>
                <c:pt idx="8">
                  <c:v>Jun’26</c:v>
                </c:pt>
              </c:strCache>
            </c:strRef>
          </c:cat>
          <c:val>
            <c:numRef>
              <c:f>Review4!$C$2:$C$10</c:f>
              <c:numCache>
                <c:formatCode>#,##0</c:formatCode>
                <c:ptCount val="9"/>
                <c:pt idx="0">
                  <c:v>1748</c:v>
                </c:pt>
                <c:pt idx="1">
                  <c:v>1747</c:v>
                </c:pt>
                <c:pt idx="2">
                  <c:v>2664.8</c:v>
                </c:pt>
                <c:pt idx="3">
                  <c:v>1672</c:v>
                </c:pt>
                <c:pt idx="4">
                  <c:v>1895.5</c:v>
                </c:pt>
                <c:pt idx="5">
                  <c:v>1846</c:v>
                </c:pt>
                <c:pt idx="6">
                  <c:v>1782.1</c:v>
                </c:pt>
                <c:pt idx="7">
                  <c:v>1785</c:v>
                </c:pt>
                <c:pt idx="8">
                  <c:v>868</c:v>
                </c:pt>
              </c:numCache>
            </c:numRef>
          </c:val>
          <c:extLst>
            <c:ext xmlns:c16="http://schemas.microsoft.com/office/drawing/2014/chart" uri="{C3380CC4-5D6E-409C-BE32-E72D297353CC}">
              <c16:uniqueId val="{00000001-5497-4C28-9176-C3AF71E5EDF9}"/>
            </c:ext>
          </c:extLst>
        </c:ser>
        <c:dLbls>
          <c:showLegendKey val="0"/>
          <c:showVal val="0"/>
          <c:showCatName val="0"/>
          <c:showSerName val="0"/>
          <c:showPercent val="0"/>
          <c:showBubbleSize val="0"/>
        </c:dLbls>
        <c:gapWidth val="219"/>
        <c:overlap val="-27"/>
        <c:axId val="2104229103"/>
        <c:axId val="2104229583"/>
      </c:barChart>
      <c:lineChart>
        <c:grouping val="standard"/>
        <c:varyColors val="0"/>
        <c:ser>
          <c:idx val="2"/>
          <c:order val="2"/>
          <c:tx>
            <c:strRef>
              <c:f>Review4!$D$1</c:f>
              <c:strCache>
                <c:ptCount val="1"/>
                <c:pt idx="0">
                  <c:v>Billable FTE</c:v>
                </c:pt>
              </c:strCache>
            </c:strRef>
          </c:tx>
          <c:spPr>
            <a:ln w="28575" cap="rnd">
              <a:solidFill>
                <a:srgbClr val="92D050"/>
              </a:solidFill>
              <a:prstDash val="solid"/>
              <a:round/>
            </a:ln>
            <a:effectLst/>
          </c:spPr>
          <c:marker>
            <c:symbol val="circle"/>
            <c:size val="7"/>
            <c:spPr>
              <a:solidFill>
                <a:srgbClr val="92D050"/>
              </a:solidFill>
              <a:ln w="9525">
                <a:solidFill>
                  <a:srgbClr val="92D05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Review4!$A$2:$A$10</c:f>
              <c:strCache>
                <c:ptCount val="9"/>
                <c:pt idx="0">
                  <c:v>Oct’25</c:v>
                </c:pt>
                <c:pt idx="1">
                  <c:v>Nov’25</c:v>
                </c:pt>
                <c:pt idx="2">
                  <c:v>Dec’25</c:v>
                </c:pt>
                <c:pt idx="3">
                  <c:v>Jan’26</c:v>
                </c:pt>
                <c:pt idx="4">
                  <c:v>Feb’26</c:v>
                </c:pt>
                <c:pt idx="5">
                  <c:v>Mar’26</c:v>
                </c:pt>
                <c:pt idx="6">
                  <c:v>Apr’26</c:v>
                </c:pt>
                <c:pt idx="7">
                  <c:v>May’26</c:v>
                </c:pt>
                <c:pt idx="8">
                  <c:v>Jun’26</c:v>
                </c:pt>
              </c:strCache>
            </c:strRef>
          </c:cat>
          <c:val>
            <c:numRef>
              <c:f>Review4!$D$2:$D$10</c:f>
              <c:numCache>
                <c:formatCode>#,##0</c:formatCode>
                <c:ptCount val="9"/>
                <c:pt idx="0">
                  <c:v>189</c:v>
                </c:pt>
                <c:pt idx="1">
                  <c:v>189</c:v>
                </c:pt>
                <c:pt idx="2">
                  <c:v>189</c:v>
                </c:pt>
                <c:pt idx="3">
                  <c:v>155</c:v>
                </c:pt>
                <c:pt idx="4">
                  <c:v>155</c:v>
                </c:pt>
                <c:pt idx="5">
                  <c:v>155</c:v>
                </c:pt>
                <c:pt idx="6">
                  <c:v>156</c:v>
                </c:pt>
                <c:pt idx="7">
                  <c:v>156</c:v>
                </c:pt>
                <c:pt idx="8">
                  <c:v>156</c:v>
                </c:pt>
              </c:numCache>
            </c:numRef>
          </c:val>
          <c:smooth val="0"/>
          <c:extLst>
            <c:ext xmlns:c16="http://schemas.microsoft.com/office/drawing/2014/chart" uri="{C3380CC4-5D6E-409C-BE32-E72D297353CC}">
              <c16:uniqueId val="{00000002-5497-4C28-9176-C3AF71E5EDF9}"/>
            </c:ext>
          </c:extLst>
        </c:ser>
        <c:ser>
          <c:idx val="3"/>
          <c:order val="3"/>
          <c:tx>
            <c:strRef>
              <c:f>Review4!$E$1</c:f>
              <c:strCache>
                <c:ptCount val="1"/>
                <c:pt idx="0">
                  <c:v>FTE contributing to SP</c:v>
                </c:pt>
              </c:strCache>
            </c:strRef>
          </c:tx>
          <c:spPr>
            <a:ln w="28575" cap="rnd">
              <a:solidFill>
                <a:srgbClr val="C6E0B4"/>
              </a:solidFill>
              <a:prstDash val="solid"/>
              <a:round/>
            </a:ln>
            <a:effectLst/>
          </c:spPr>
          <c:marker>
            <c:symbol val="circle"/>
            <c:size val="7"/>
            <c:spPr>
              <a:solidFill>
                <a:srgbClr val="C6E0B4"/>
              </a:solidFill>
              <a:ln w="9525">
                <a:solidFill>
                  <a:srgbClr val="C6E0B4"/>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Review4!$A$2:$A$10</c:f>
              <c:strCache>
                <c:ptCount val="9"/>
                <c:pt idx="0">
                  <c:v>Oct’25</c:v>
                </c:pt>
                <c:pt idx="1">
                  <c:v>Nov’25</c:v>
                </c:pt>
                <c:pt idx="2">
                  <c:v>Dec’25</c:v>
                </c:pt>
                <c:pt idx="3">
                  <c:v>Jan’26</c:v>
                </c:pt>
                <c:pt idx="4">
                  <c:v>Feb’26</c:v>
                </c:pt>
                <c:pt idx="5">
                  <c:v>Mar’26</c:v>
                </c:pt>
                <c:pt idx="6">
                  <c:v>Apr’26</c:v>
                </c:pt>
                <c:pt idx="7">
                  <c:v>May’26</c:v>
                </c:pt>
                <c:pt idx="8">
                  <c:v>Jun’26</c:v>
                </c:pt>
              </c:strCache>
            </c:strRef>
          </c:cat>
          <c:val>
            <c:numRef>
              <c:f>Review4!$E$2:$E$10</c:f>
              <c:numCache>
                <c:formatCode>#,##0</c:formatCode>
                <c:ptCount val="9"/>
                <c:pt idx="0">
                  <c:v>131</c:v>
                </c:pt>
                <c:pt idx="1">
                  <c:v>131</c:v>
                </c:pt>
                <c:pt idx="2">
                  <c:v>131</c:v>
                </c:pt>
                <c:pt idx="3">
                  <c:v>131</c:v>
                </c:pt>
                <c:pt idx="4">
                  <c:v>131</c:v>
                </c:pt>
                <c:pt idx="5">
                  <c:v>115</c:v>
                </c:pt>
                <c:pt idx="6">
                  <c:v>115</c:v>
                </c:pt>
                <c:pt idx="7">
                  <c:v>115</c:v>
                </c:pt>
                <c:pt idx="8">
                  <c:v>115</c:v>
                </c:pt>
              </c:numCache>
            </c:numRef>
          </c:val>
          <c:smooth val="0"/>
          <c:extLst>
            <c:ext xmlns:c16="http://schemas.microsoft.com/office/drawing/2014/chart" uri="{C3380CC4-5D6E-409C-BE32-E72D297353CC}">
              <c16:uniqueId val="{00000003-5497-4C28-9176-C3AF71E5EDF9}"/>
            </c:ext>
          </c:extLst>
        </c:ser>
        <c:dLbls>
          <c:showLegendKey val="0"/>
          <c:showVal val="0"/>
          <c:showCatName val="0"/>
          <c:showSerName val="0"/>
          <c:showPercent val="0"/>
          <c:showBubbleSize val="0"/>
        </c:dLbls>
        <c:marker val="1"/>
        <c:smooth val="0"/>
        <c:axId val="2104229103"/>
        <c:axId val="2104229583"/>
      </c:lineChart>
      <c:lineChart>
        <c:grouping val="standard"/>
        <c:varyColors val="0"/>
        <c:ser>
          <c:idx val="0"/>
          <c:order val="0"/>
          <c:tx>
            <c:strRef>
              <c:f>Review4!$B$1</c:f>
              <c:strCache>
                <c:ptCount val="1"/>
                <c:pt idx="0">
                  <c:v>Productivity</c:v>
                </c:pt>
              </c:strCache>
            </c:strRef>
          </c:tx>
          <c:spPr>
            <a:ln w="28575" cap="rnd">
              <a:solidFill>
                <a:srgbClr val="00B050"/>
              </a:solidFill>
              <a:prstDash val="solid"/>
              <a:round/>
            </a:ln>
            <a:effectLst/>
          </c:spPr>
          <c:marker>
            <c:symbol val="circle"/>
            <c:size val="7"/>
            <c:spPr>
              <a:solidFill>
                <a:srgbClr val="00B050"/>
              </a:solidFill>
              <a:ln w="9525">
                <a:solidFill>
                  <a:srgbClr val="00B050"/>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Review4!$A$2:$A$10</c:f>
              <c:strCache>
                <c:ptCount val="9"/>
                <c:pt idx="0">
                  <c:v>Oct’25</c:v>
                </c:pt>
                <c:pt idx="1">
                  <c:v>Nov’25</c:v>
                </c:pt>
                <c:pt idx="2">
                  <c:v>Dec’25</c:v>
                </c:pt>
                <c:pt idx="3">
                  <c:v>Jan’26</c:v>
                </c:pt>
                <c:pt idx="4">
                  <c:v>Feb’26</c:v>
                </c:pt>
                <c:pt idx="5">
                  <c:v>Mar’26</c:v>
                </c:pt>
                <c:pt idx="6">
                  <c:v>Apr’26</c:v>
                </c:pt>
                <c:pt idx="7">
                  <c:v>May’26</c:v>
                </c:pt>
                <c:pt idx="8">
                  <c:v>Jun’26</c:v>
                </c:pt>
              </c:strCache>
            </c:strRef>
          </c:cat>
          <c:val>
            <c:numRef>
              <c:f>Review4!$B$2:$B$10</c:f>
              <c:numCache>
                <c:formatCode>0.0</c:formatCode>
                <c:ptCount val="9"/>
                <c:pt idx="0">
                  <c:v>7.2196690214547363</c:v>
                </c:pt>
                <c:pt idx="1">
                  <c:v>7.1145041862899019</c:v>
                </c:pt>
                <c:pt idx="2">
                  <c:v>6.8252395712358966</c:v>
                </c:pt>
                <c:pt idx="3">
                  <c:v>6.698095238095239</c:v>
                </c:pt>
                <c:pt idx="4">
                  <c:v>7.7395238095238108</c:v>
                </c:pt>
                <c:pt idx="5">
                  <c:v>7.2577647933461895</c:v>
                </c:pt>
                <c:pt idx="6">
                  <c:v>7.6514105894105882</c:v>
                </c:pt>
                <c:pt idx="7">
                  <c:v>7.6967255483488382</c:v>
                </c:pt>
                <c:pt idx="8">
                  <c:v>7.4722881880024739</c:v>
                </c:pt>
              </c:numCache>
            </c:numRef>
          </c:val>
          <c:smooth val="0"/>
          <c:extLst>
            <c:ext xmlns:c16="http://schemas.microsoft.com/office/drawing/2014/chart" uri="{C3380CC4-5D6E-409C-BE32-E72D297353CC}">
              <c16:uniqueId val="{00000000-5497-4C28-9176-C3AF71E5EDF9}"/>
            </c:ext>
          </c:extLst>
        </c:ser>
        <c:dLbls>
          <c:showLegendKey val="0"/>
          <c:showVal val="0"/>
          <c:showCatName val="0"/>
          <c:showSerName val="0"/>
          <c:showPercent val="0"/>
          <c:showBubbleSize val="0"/>
        </c:dLbls>
        <c:marker val="1"/>
        <c:smooth val="0"/>
        <c:axId val="2091935823"/>
        <c:axId val="1159298495"/>
      </c:lineChart>
      <c:catAx>
        <c:axId val="21042291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229583"/>
        <c:crosses val="autoZero"/>
        <c:auto val="1"/>
        <c:lblAlgn val="ctr"/>
        <c:lblOffset val="100"/>
        <c:noMultiLvlLbl val="0"/>
      </c:catAx>
      <c:valAx>
        <c:axId val="21042295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Velocity / FTE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229103"/>
        <c:crosses val="autoZero"/>
        <c:crossBetween val="between"/>
      </c:valAx>
      <c:valAx>
        <c:axId val="1159298495"/>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935823"/>
        <c:crosses val="max"/>
        <c:crossBetween val="between"/>
      </c:valAx>
      <c:catAx>
        <c:axId val="2091935823"/>
        <c:scaling>
          <c:orientation val="minMax"/>
        </c:scaling>
        <c:delete val="1"/>
        <c:axPos val="b"/>
        <c:numFmt formatCode="General" sourceLinked="1"/>
        <c:majorTickMark val="out"/>
        <c:minorTickMark val="none"/>
        <c:tickLblPos val="nextTo"/>
        <c:crossAx val="115929849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Review5!$B$1</c:f>
              <c:strCache>
                <c:ptCount val="1"/>
                <c:pt idx="0">
                  <c:v>Velocity</c:v>
                </c:pt>
              </c:strCache>
            </c:strRef>
          </c:tx>
          <c:spPr>
            <a:solidFill>
              <a:srgbClr val="4472C4"/>
            </a:solidFill>
            <a:ln>
              <a:solidFill>
                <a:srgbClr val="4472C4"/>
              </a:solidFill>
              <a:prstDash val="solid"/>
            </a:ln>
            <a:effectLst/>
          </c:spPr>
          <c:invertIfNegative val="0"/>
          <c:cat>
            <c:strRef>
              <c:f>Review5!$A$2:$A$10</c:f>
              <c:strCache>
                <c:ptCount val="9"/>
                <c:pt idx="0">
                  <c:v>Oct’25</c:v>
                </c:pt>
                <c:pt idx="1">
                  <c:v>Nov’25</c:v>
                </c:pt>
                <c:pt idx="2">
                  <c:v>Dec’25</c:v>
                </c:pt>
                <c:pt idx="3">
                  <c:v>Jan’26</c:v>
                </c:pt>
                <c:pt idx="4">
                  <c:v>Feb’26</c:v>
                </c:pt>
                <c:pt idx="5">
                  <c:v>Mar’26</c:v>
                </c:pt>
                <c:pt idx="6">
                  <c:v>Apr’26</c:v>
                </c:pt>
                <c:pt idx="7">
                  <c:v>May’26</c:v>
                </c:pt>
                <c:pt idx="8">
                  <c:v>Jun’26</c:v>
                </c:pt>
              </c:strCache>
            </c:strRef>
          </c:cat>
          <c:val>
            <c:numRef>
              <c:f>Review5!$B$2:$B$10</c:f>
              <c:numCache>
                <c:formatCode>#,##0</c:formatCode>
                <c:ptCount val="9"/>
                <c:pt idx="0">
                  <c:v>1748</c:v>
                </c:pt>
                <c:pt idx="1">
                  <c:v>1747</c:v>
                </c:pt>
                <c:pt idx="2">
                  <c:v>2664.8</c:v>
                </c:pt>
                <c:pt idx="3">
                  <c:v>1672</c:v>
                </c:pt>
                <c:pt idx="4">
                  <c:v>1895.5</c:v>
                </c:pt>
                <c:pt idx="5">
                  <c:v>1846</c:v>
                </c:pt>
                <c:pt idx="6">
                  <c:v>1782.1</c:v>
                </c:pt>
                <c:pt idx="7">
                  <c:v>1785</c:v>
                </c:pt>
                <c:pt idx="8">
                  <c:v>868</c:v>
                </c:pt>
              </c:numCache>
            </c:numRef>
          </c:val>
          <c:extLst>
            <c:ext xmlns:c16="http://schemas.microsoft.com/office/drawing/2014/chart" uri="{C3380CC4-5D6E-409C-BE32-E72D297353CC}">
              <c16:uniqueId val="{00000000-89D5-4D8B-A6D9-686C11C181FA}"/>
            </c:ext>
          </c:extLst>
        </c:ser>
        <c:dLbls>
          <c:showLegendKey val="0"/>
          <c:showVal val="0"/>
          <c:showCatName val="0"/>
          <c:showSerName val="0"/>
          <c:showPercent val="0"/>
          <c:showBubbleSize val="0"/>
        </c:dLbls>
        <c:gapWidth val="219"/>
        <c:overlap val="-27"/>
        <c:axId val="532384879"/>
        <c:axId val="532382479"/>
      </c:barChart>
      <c:lineChart>
        <c:grouping val="standard"/>
        <c:varyColors val="0"/>
        <c:ser>
          <c:idx val="1"/>
          <c:order val="1"/>
          <c:tx>
            <c:strRef>
              <c:f>Review5!$C$1</c:f>
              <c:strCache>
                <c:ptCount val="1"/>
                <c:pt idx="0">
                  <c:v>Billable FTE</c:v>
                </c:pt>
              </c:strCache>
            </c:strRef>
          </c:tx>
          <c:spPr>
            <a:ln w="28575" cap="rnd">
              <a:solidFill>
                <a:srgbClr val="A9D18E"/>
              </a:solidFill>
              <a:prstDash val="solid"/>
              <a:round/>
            </a:ln>
            <a:effectLst/>
          </c:spPr>
          <c:marker>
            <c:symbol val="circle"/>
            <c:size val="6"/>
            <c:spPr>
              <a:solidFill>
                <a:schemeClr val="accent2"/>
              </a:solidFill>
              <a:ln w="9525">
                <a:solidFill>
                  <a:schemeClr val="accent2"/>
                </a:solidFill>
              </a:ln>
              <a:effectLst/>
            </c:spPr>
          </c:marker>
          <c:cat>
            <c:strRef>
              <c:f>Review5!$A$2:$A$10</c:f>
              <c:strCache>
                <c:ptCount val="9"/>
                <c:pt idx="0">
                  <c:v>Oct’25</c:v>
                </c:pt>
                <c:pt idx="1">
                  <c:v>Nov’25</c:v>
                </c:pt>
                <c:pt idx="2">
                  <c:v>Dec’25</c:v>
                </c:pt>
                <c:pt idx="3">
                  <c:v>Jan’26</c:v>
                </c:pt>
                <c:pt idx="4">
                  <c:v>Feb’26</c:v>
                </c:pt>
                <c:pt idx="5">
                  <c:v>Mar’26</c:v>
                </c:pt>
                <c:pt idx="6">
                  <c:v>Apr’26</c:v>
                </c:pt>
                <c:pt idx="7">
                  <c:v>May’26</c:v>
                </c:pt>
                <c:pt idx="8">
                  <c:v>Jun’26</c:v>
                </c:pt>
              </c:strCache>
            </c:strRef>
          </c:cat>
          <c:val>
            <c:numRef>
              <c:f>Review5!$C$2:$C$10</c:f>
              <c:numCache>
                <c:formatCode>#,##0</c:formatCode>
                <c:ptCount val="9"/>
                <c:pt idx="0">
                  <c:v>189</c:v>
                </c:pt>
                <c:pt idx="1">
                  <c:v>189</c:v>
                </c:pt>
                <c:pt idx="2">
                  <c:v>189</c:v>
                </c:pt>
                <c:pt idx="3">
                  <c:v>155</c:v>
                </c:pt>
                <c:pt idx="4">
                  <c:v>155</c:v>
                </c:pt>
                <c:pt idx="5">
                  <c:v>155</c:v>
                </c:pt>
                <c:pt idx="6">
                  <c:v>156</c:v>
                </c:pt>
                <c:pt idx="7">
                  <c:v>156</c:v>
                </c:pt>
                <c:pt idx="8">
                  <c:v>156</c:v>
                </c:pt>
              </c:numCache>
            </c:numRef>
          </c:val>
          <c:smooth val="0"/>
          <c:extLst>
            <c:ext xmlns:c16="http://schemas.microsoft.com/office/drawing/2014/chart" uri="{C3380CC4-5D6E-409C-BE32-E72D297353CC}">
              <c16:uniqueId val="{00000001-89D5-4D8B-A6D9-686C11C181FA}"/>
            </c:ext>
          </c:extLst>
        </c:ser>
        <c:ser>
          <c:idx val="2"/>
          <c:order val="2"/>
          <c:tx>
            <c:strRef>
              <c:f>Review5!$D$1</c:f>
              <c:strCache>
                <c:ptCount val="1"/>
                <c:pt idx="0">
                  <c:v>FTE contributing to SP</c:v>
                </c:pt>
              </c:strCache>
            </c:strRef>
          </c:tx>
          <c:spPr>
            <a:ln w="28575" cap="rnd">
              <a:solidFill>
                <a:srgbClr val="C6E0B4"/>
              </a:solidFill>
              <a:prstDash val="solid"/>
              <a:round/>
            </a:ln>
            <a:effectLst/>
          </c:spPr>
          <c:marker>
            <c:symbol val="circle"/>
            <c:size val="6"/>
            <c:spPr>
              <a:solidFill>
                <a:schemeClr val="accent3"/>
              </a:solidFill>
              <a:ln w="9525">
                <a:solidFill>
                  <a:schemeClr val="accent3"/>
                </a:solidFill>
              </a:ln>
              <a:effectLst/>
            </c:spPr>
          </c:marker>
          <c:cat>
            <c:strRef>
              <c:f>Review5!$A$2:$A$10</c:f>
              <c:strCache>
                <c:ptCount val="9"/>
                <c:pt idx="0">
                  <c:v>Oct’25</c:v>
                </c:pt>
                <c:pt idx="1">
                  <c:v>Nov’25</c:v>
                </c:pt>
                <c:pt idx="2">
                  <c:v>Dec’25</c:v>
                </c:pt>
                <c:pt idx="3">
                  <c:v>Jan’26</c:v>
                </c:pt>
                <c:pt idx="4">
                  <c:v>Feb’26</c:v>
                </c:pt>
                <c:pt idx="5">
                  <c:v>Mar’26</c:v>
                </c:pt>
                <c:pt idx="6">
                  <c:v>Apr’26</c:v>
                </c:pt>
                <c:pt idx="7">
                  <c:v>May’26</c:v>
                </c:pt>
                <c:pt idx="8">
                  <c:v>Jun’26</c:v>
                </c:pt>
              </c:strCache>
            </c:strRef>
          </c:cat>
          <c:val>
            <c:numRef>
              <c:f>Review5!$D$2:$D$10</c:f>
              <c:numCache>
                <c:formatCode>#,##0</c:formatCode>
                <c:ptCount val="9"/>
                <c:pt idx="0">
                  <c:v>131</c:v>
                </c:pt>
                <c:pt idx="1">
                  <c:v>131</c:v>
                </c:pt>
                <c:pt idx="2">
                  <c:v>131</c:v>
                </c:pt>
                <c:pt idx="3">
                  <c:v>131</c:v>
                </c:pt>
                <c:pt idx="4">
                  <c:v>131</c:v>
                </c:pt>
                <c:pt idx="5">
                  <c:v>115</c:v>
                </c:pt>
                <c:pt idx="6">
                  <c:v>115</c:v>
                </c:pt>
                <c:pt idx="7">
                  <c:v>115</c:v>
                </c:pt>
                <c:pt idx="8">
                  <c:v>115</c:v>
                </c:pt>
              </c:numCache>
            </c:numRef>
          </c:val>
          <c:smooth val="0"/>
          <c:extLst>
            <c:ext xmlns:c16="http://schemas.microsoft.com/office/drawing/2014/chart" uri="{C3380CC4-5D6E-409C-BE32-E72D297353CC}">
              <c16:uniqueId val="{00000002-89D5-4D8B-A6D9-686C11C181FA}"/>
            </c:ext>
          </c:extLst>
        </c:ser>
        <c:dLbls>
          <c:showLegendKey val="0"/>
          <c:showVal val="0"/>
          <c:showCatName val="0"/>
          <c:showSerName val="0"/>
          <c:showPercent val="0"/>
          <c:showBubbleSize val="0"/>
        </c:dLbls>
        <c:marker val="1"/>
        <c:smooth val="0"/>
        <c:axId val="532384879"/>
        <c:axId val="532382479"/>
      </c:lineChart>
      <c:lineChart>
        <c:grouping val="standard"/>
        <c:varyColors val="0"/>
        <c:ser>
          <c:idx val="3"/>
          <c:order val="3"/>
          <c:tx>
            <c:strRef>
              <c:f>Review5!$E$1</c:f>
              <c:strCache>
                <c:ptCount val="1"/>
                <c:pt idx="0">
                  <c:v>Productivity</c:v>
                </c:pt>
              </c:strCache>
            </c:strRef>
          </c:tx>
          <c:spPr>
            <a:ln w="28575" cap="rnd">
              <a:solidFill>
                <a:srgbClr val="00B050"/>
              </a:solidFill>
              <a:prstDash val="solid"/>
              <a:round/>
            </a:ln>
            <a:effectLst/>
          </c:spPr>
          <c:marker>
            <c:symbol val="circle"/>
            <c:size val="7"/>
            <c:spPr>
              <a:solidFill>
                <a:schemeClr val="accent4"/>
              </a:solidFill>
              <a:ln w="9525">
                <a:solidFill>
                  <a:schemeClr val="accent4"/>
                </a:solidFill>
              </a:ln>
              <a:effectLst/>
            </c:spPr>
          </c:marker>
          <c:cat>
            <c:strRef>
              <c:f>Review5!$A$2:$A$10</c:f>
              <c:strCache>
                <c:ptCount val="9"/>
                <c:pt idx="0">
                  <c:v>Oct’25</c:v>
                </c:pt>
                <c:pt idx="1">
                  <c:v>Nov’25</c:v>
                </c:pt>
                <c:pt idx="2">
                  <c:v>Dec’25</c:v>
                </c:pt>
                <c:pt idx="3">
                  <c:v>Jan’26</c:v>
                </c:pt>
                <c:pt idx="4">
                  <c:v>Feb’26</c:v>
                </c:pt>
                <c:pt idx="5">
                  <c:v>Mar’26</c:v>
                </c:pt>
                <c:pt idx="6">
                  <c:v>Apr’26</c:v>
                </c:pt>
                <c:pt idx="7">
                  <c:v>May’26</c:v>
                </c:pt>
                <c:pt idx="8">
                  <c:v>Jun’26</c:v>
                </c:pt>
              </c:strCache>
            </c:strRef>
          </c:cat>
          <c:val>
            <c:numRef>
              <c:f>Review5!$E$2:$E$10</c:f>
              <c:numCache>
                <c:formatCode>0.0</c:formatCode>
                <c:ptCount val="9"/>
                <c:pt idx="0">
                  <c:v>6.6717557251908399</c:v>
                </c:pt>
                <c:pt idx="1">
                  <c:v>6.6679389312977095</c:v>
                </c:pt>
                <c:pt idx="2">
                  <c:v>6.7806615776081429</c:v>
                </c:pt>
                <c:pt idx="3">
                  <c:v>6.3816793893129775</c:v>
                </c:pt>
                <c:pt idx="4">
                  <c:v>7.2347328244274811</c:v>
                </c:pt>
                <c:pt idx="5">
                  <c:v>8.0260869565217394</c:v>
                </c:pt>
                <c:pt idx="6">
                  <c:v>7.7482608695652173</c:v>
                </c:pt>
                <c:pt idx="7">
                  <c:v>7.7608695652173916</c:v>
                </c:pt>
                <c:pt idx="8">
                  <c:v>7.5478260869565217</c:v>
                </c:pt>
              </c:numCache>
            </c:numRef>
          </c:val>
          <c:smooth val="0"/>
          <c:extLst>
            <c:ext xmlns:c16="http://schemas.microsoft.com/office/drawing/2014/chart" uri="{C3380CC4-5D6E-409C-BE32-E72D297353CC}">
              <c16:uniqueId val="{00000003-89D5-4D8B-A6D9-686C11C181FA}"/>
            </c:ext>
          </c:extLst>
        </c:ser>
        <c:dLbls>
          <c:showLegendKey val="0"/>
          <c:showVal val="0"/>
          <c:showCatName val="0"/>
          <c:showSerName val="0"/>
          <c:showPercent val="0"/>
          <c:showBubbleSize val="0"/>
        </c:dLbls>
        <c:marker val="1"/>
        <c:smooth val="0"/>
        <c:axId val="2088231663"/>
        <c:axId val="2066996831"/>
      </c:lineChart>
      <c:catAx>
        <c:axId val="532384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382479"/>
        <c:crosses val="autoZero"/>
        <c:auto val="1"/>
        <c:lblAlgn val="ctr"/>
        <c:lblOffset val="100"/>
        <c:noMultiLvlLbl val="0"/>
      </c:catAx>
      <c:valAx>
        <c:axId val="53238247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384879"/>
        <c:crosses val="autoZero"/>
        <c:crossBetween val="between"/>
      </c:valAx>
      <c:valAx>
        <c:axId val="2066996831"/>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231663"/>
        <c:crosses val="max"/>
        <c:crossBetween val="between"/>
      </c:valAx>
      <c:catAx>
        <c:axId val="2088231663"/>
        <c:scaling>
          <c:orientation val="minMax"/>
        </c:scaling>
        <c:delete val="1"/>
        <c:axPos val="b"/>
        <c:numFmt formatCode="General" sourceLinked="1"/>
        <c:majorTickMark val="out"/>
        <c:minorTickMark val="none"/>
        <c:tickLblPos val="nextTo"/>
        <c:crossAx val="206699683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Portfolio Productivity: Q1, Q2 and Q3TD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'Productivity Insights'!$C$9</c:f>
              <c:strCache>
                <c:ptCount val="1"/>
                <c:pt idx="0">
                  <c:v>Portfolio productivity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'Productivity Insights'!$A$10:$A$12</c:f>
              <c:strCache>
                <c:ptCount val="3"/>
                <c:pt idx="0">
                  <c:v>Q1</c:v>
                </c:pt>
                <c:pt idx="1">
                  <c:v>Q2</c:v>
                </c:pt>
                <c:pt idx="2">
                  <c:v>Q3TD*</c:v>
                </c:pt>
              </c:strCache>
            </c:strRef>
          </c:cat>
          <c:val>
            <c:numRef>
              <c:f>'Productivity Insights'!$C$10:$C$12</c:f>
              <c:numCache>
                <c:formatCode>0.0</c:formatCode>
                <c:ptCount val="3"/>
                <c:pt idx="0">
                  <c:v>7.2463930766203477</c:v>
                </c:pt>
                <c:pt idx="1">
                  <c:v>7.6899363076522604</c:v>
                </c:pt>
                <c:pt idx="2">
                  <c:v>7.8105905482999987</c:v>
                </c:pt>
              </c:numCache>
            </c:numRef>
          </c:val>
          <c:smooth val="0"/>
          <c:extLst>
            <c:ext xmlns:c16="http://schemas.microsoft.com/office/drawing/2014/chart" uri="{C3380CC4-5D6E-409C-BE32-E72D297353CC}">
              <c16:uniqueId val="{00000000-DA87-422D-9BDA-7A0566E5CB92}"/>
            </c:ext>
          </c:extLst>
        </c:ser>
        <c:dLbls>
          <c:showLegendKey val="0"/>
          <c:showVal val="0"/>
          <c:showCatName val="0"/>
          <c:showSerName val="0"/>
          <c:showPercent val="0"/>
          <c:showBubbleSize val="0"/>
        </c:dLbls>
        <c:marker val="1"/>
        <c:smooth val="0"/>
        <c:axId val="771294544"/>
        <c:axId val="771298864"/>
      </c:lineChart>
      <c:catAx>
        <c:axId val="7712945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Period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298864"/>
        <c:crosses val="autoZero"/>
        <c:auto val="1"/>
        <c:lblAlgn val="ctr"/>
        <c:lblOffset val="100"/>
        <c:noMultiLvlLbl val="0"/>
      </c:catAx>
      <c:valAx>
        <c:axId val="7712988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Productivity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294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Applications by Three-Period Pattern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'Productivity Insights'!$H$9</c:f>
              <c:strCache>
                <c:ptCount val="1"/>
                <c:pt idx="0">
                  <c:v>Count</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'Productivity Insights'!$G$10:$G$14</c:f>
              <c:strCache>
                <c:ptCount val="5"/>
                <c:pt idx="0">
                  <c:v>Sustained increase</c:v>
                </c:pt>
                <c:pt idx="1">
                  <c:v>Sustained decline</c:v>
                </c:pt>
                <c:pt idx="2">
                  <c:v>Q3TD recovery</c:v>
                </c:pt>
                <c:pt idx="3">
                  <c:v>Q3TD reversal</c:v>
                </c:pt>
                <c:pt idx="4">
                  <c:v>Stable / mixed</c:v>
                </c:pt>
              </c:strCache>
            </c:strRef>
          </c:cat>
          <c:val>
            <c:numRef>
              <c:f>'Productivity Insights'!$H$10:$H$14</c:f>
              <c:numCache>
                <c:formatCode>General</c:formatCode>
                <c:ptCount val="5"/>
                <c:pt idx="0">
                  <c:v>9</c:v>
                </c:pt>
                <c:pt idx="1">
                  <c:v>5</c:v>
                </c:pt>
                <c:pt idx="2">
                  <c:v>3</c:v>
                </c:pt>
                <c:pt idx="3">
                  <c:v>7</c:v>
                </c:pt>
                <c:pt idx="4">
                  <c:v>1</c:v>
                </c:pt>
              </c:numCache>
            </c:numRef>
          </c:val>
          <c:extLst>
            <c:ext xmlns:c16="http://schemas.microsoft.com/office/drawing/2014/chart" uri="{C3380CC4-5D6E-409C-BE32-E72D297353CC}">
              <c16:uniqueId val="{00000000-A751-47A6-98F0-6F19FA595779}"/>
            </c:ext>
          </c:extLst>
        </c:ser>
        <c:dLbls>
          <c:showLegendKey val="0"/>
          <c:showVal val="0"/>
          <c:showCatName val="0"/>
          <c:showSerName val="0"/>
          <c:showPercent val="0"/>
          <c:showBubbleSize val="0"/>
        </c:dLbls>
        <c:gapWidth val="182"/>
        <c:axId val="2090685712"/>
        <c:axId val="2090682832"/>
      </c:barChart>
      <c:catAx>
        <c:axId val="20906857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Pattern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0682832"/>
        <c:crosses val="autoZero"/>
        <c:auto val="1"/>
        <c:lblAlgn val="ctr"/>
        <c:lblOffset val="100"/>
        <c:noMultiLvlLbl val="0"/>
      </c:catAx>
      <c:valAx>
        <c:axId val="20906828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Applications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0685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7</xdr:col>
      <xdr:colOff>589139</xdr:colOff>
      <xdr:row>17</xdr:row>
      <xdr:rowOff>39511</xdr:rowOff>
    </xdr:from>
    <xdr:to>
      <xdr:col>18</xdr:col>
      <xdr:colOff>493889</xdr:colOff>
      <xdr:row>42</xdr:row>
      <xdr:rowOff>105834</xdr:rowOff>
    </xdr:to>
    <xdr:graphicFrame macro="">
      <xdr:nvGraphicFramePr>
        <xdr:cNvPr id="3" name="Chart 2">
          <a:extLst>
            <a:ext uri="{FF2B5EF4-FFF2-40B4-BE49-F238E27FC236}">
              <a16:creationId xmlns:a16="http://schemas.microsoft.com/office/drawing/2014/main" id="{EBE109F4-E7F0-CBC0-D976-30A6F82BEE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57149</xdr:colOff>
      <xdr:row>10</xdr:row>
      <xdr:rowOff>9525</xdr:rowOff>
    </xdr:from>
    <xdr:to>
      <xdr:col>21</xdr:col>
      <xdr:colOff>49211</xdr:colOff>
      <xdr:row>32</xdr:row>
      <xdr:rowOff>134938</xdr:rowOff>
    </xdr:to>
    <xdr:graphicFrame macro="">
      <xdr:nvGraphicFramePr>
        <xdr:cNvPr id="3" name="Chart 2">
          <a:extLst>
            <a:ext uri="{FF2B5EF4-FFF2-40B4-BE49-F238E27FC236}">
              <a16:creationId xmlns:a16="http://schemas.microsoft.com/office/drawing/2014/main" id="{333C7205-8769-A501-E297-96370AE0BC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582084</xdr:colOff>
      <xdr:row>2</xdr:row>
      <xdr:rowOff>74789</xdr:rowOff>
    </xdr:from>
    <xdr:to>
      <xdr:col>18</xdr:col>
      <xdr:colOff>317500</xdr:colOff>
      <xdr:row>22</xdr:row>
      <xdr:rowOff>155222</xdr:rowOff>
    </xdr:to>
    <xdr:graphicFrame macro="">
      <xdr:nvGraphicFramePr>
        <xdr:cNvPr id="3" name="Chart 2">
          <a:extLst>
            <a:ext uri="{FF2B5EF4-FFF2-40B4-BE49-F238E27FC236}">
              <a16:creationId xmlns:a16="http://schemas.microsoft.com/office/drawing/2014/main" id="{2079E2F1-224F-332D-458F-7AAEDAB99A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31750</xdr:colOff>
      <xdr:row>1</xdr:row>
      <xdr:rowOff>111124</xdr:rowOff>
    </xdr:from>
    <xdr:to>
      <xdr:col>15</xdr:col>
      <xdr:colOff>50800</xdr:colOff>
      <xdr:row>25</xdr:row>
      <xdr:rowOff>44449</xdr:rowOff>
    </xdr:to>
    <xdr:graphicFrame macro="">
      <xdr:nvGraphicFramePr>
        <xdr:cNvPr id="2" name="Chart 1">
          <a:extLst>
            <a:ext uri="{FF2B5EF4-FFF2-40B4-BE49-F238E27FC236}">
              <a16:creationId xmlns:a16="http://schemas.microsoft.com/office/drawing/2014/main" id="{6C924C50-A9E2-4F2F-78DA-15AF997A2A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9</xdr:col>
      <xdr:colOff>12700</xdr:colOff>
      <xdr:row>1</xdr:row>
      <xdr:rowOff>53975</xdr:rowOff>
    </xdr:from>
    <xdr:to>
      <xdr:col>16</xdr:col>
      <xdr:colOff>317500</xdr:colOff>
      <xdr:row>16</xdr:row>
      <xdr:rowOff>34925</xdr:rowOff>
    </xdr:to>
    <xdr:graphicFrame macro="">
      <xdr:nvGraphicFramePr>
        <xdr:cNvPr id="2" name="Chart 1">
          <a:extLst>
            <a:ext uri="{FF2B5EF4-FFF2-40B4-BE49-F238E27FC236}">
              <a16:creationId xmlns:a16="http://schemas.microsoft.com/office/drawing/2014/main" id="{ABE4DEF1-7FBA-1E4E-0BAE-CC0ED8C296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1</xdr:row>
      <xdr:rowOff>0</xdr:rowOff>
    </xdr:from>
    <xdr:to>
      <xdr:col>18</xdr:col>
      <xdr:colOff>0</xdr:colOff>
      <xdr:row>24</xdr:row>
      <xdr:rowOff>0</xdr:rowOff>
    </xdr:to>
    <xdr:graphicFrame macro="">
      <xdr:nvGraphicFramePr>
        <xdr:cNvPr id="3" name="Productivity Velocity FTE Trend">
          <a:extLst>
            <a:ext uri="{FF2B5EF4-FFF2-40B4-BE49-F238E27FC236}">
              <a16:creationId xmlns:a16="http://schemas.microsoft.com/office/drawing/2014/main" id="{D94183A1-9F76-AE68-9DB2-0B026C5B69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0</xdr:colOff>
      <xdr:row>1</xdr:row>
      <xdr:rowOff>0</xdr:rowOff>
    </xdr:from>
    <xdr:to>
      <xdr:col>20</xdr:col>
      <xdr:colOff>0</xdr:colOff>
      <xdr:row>22</xdr:row>
      <xdr:rowOff>0</xdr:rowOff>
    </xdr:to>
    <xdr:graphicFrame macro="">
      <xdr:nvGraphicFramePr>
        <xdr:cNvPr id="2" name="Velocity Productivity FTE Trend">
          <a:extLst>
            <a:ext uri="{FF2B5EF4-FFF2-40B4-BE49-F238E27FC236}">
              <a16:creationId xmlns:a16="http://schemas.microsoft.com/office/drawing/2014/main" id="{9E5F2FBE-591F-0D92-7AEF-90E51A629A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31</xdr:row>
      <xdr:rowOff>0</xdr:rowOff>
    </xdr:from>
    <xdr:to>
      <xdr:col>6</xdr:col>
      <xdr:colOff>0</xdr:colOff>
      <xdr:row>48</xdr:row>
      <xdr:rowOff>0</xdr:rowOff>
    </xdr:to>
    <xdr:graphicFrame macro="">
      <xdr:nvGraphicFramePr>
        <xdr:cNvPr id="5" name="Q1 Q2 Q3TD Portfolio Trend">
          <a:extLst>
            <a:ext uri="{FF2B5EF4-FFF2-40B4-BE49-F238E27FC236}">
              <a16:creationId xmlns:a16="http://schemas.microsoft.com/office/drawing/2014/main" id="{D56C2D23-0EF4-BADB-63A9-6380CBF59B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31</xdr:row>
      <xdr:rowOff>0</xdr:rowOff>
    </xdr:from>
    <xdr:to>
      <xdr:col>11</xdr:col>
      <xdr:colOff>0</xdr:colOff>
      <xdr:row>48</xdr:row>
      <xdr:rowOff>0</xdr:rowOff>
    </xdr:to>
    <xdr:graphicFrame macro="">
      <xdr:nvGraphicFramePr>
        <xdr:cNvPr id="6" name="Three Period Pattern Counts">
          <a:extLst>
            <a:ext uri="{FF2B5EF4-FFF2-40B4-BE49-F238E27FC236}">
              <a16:creationId xmlns:a16="http://schemas.microsoft.com/office/drawing/2014/main" id="{1277BC85-C36E-042F-C4D9-F20A9E7C72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capgemininar.sharepoint.com/sites/ComcastXTODeliveryandoperation/Shared%20Documents/Comcast%20XTO%20Delivery%20and%20operation/IXT/QBR/SP%20Delivered.xlsx" TargetMode="External"/><Relationship Id="rId1" Type="http://schemas.openxmlformats.org/officeDocument/2006/relationships/externalLinkPath" Target="https://capgemininar.sharepoint.com/sites/ComcastXTODeliveryandoperation/Shared%20Documents/Comcast%20XTO%20Delivery%20and%20operation/IXT/QBR/SP%20Deliver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se Data Productivity"/>
      <sheetName val="Base data Velocity"/>
      <sheetName val="Base Data Predictability"/>
      <sheetName val="Pivot"/>
    </sheetNames>
    <sheetDataSet>
      <sheetData sheetId="0"/>
      <sheetData sheetId="1">
        <row r="23">
          <cell r="T23">
            <v>32</v>
          </cell>
          <cell r="U23">
            <v>26</v>
          </cell>
          <cell r="W23">
            <v>26</v>
          </cell>
        </row>
        <row r="24">
          <cell r="T24">
            <v>40</v>
          </cell>
          <cell r="U24">
            <v>33</v>
          </cell>
          <cell r="W24">
            <v>51</v>
          </cell>
        </row>
        <row r="36">
          <cell r="T36">
            <v>32</v>
          </cell>
          <cell r="U36">
            <v>26</v>
          </cell>
          <cell r="W36">
            <v>26</v>
          </cell>
        </row>
        <row r="37">
          <cell r="T37">
            <v>40</v>
          </cell>
          <cell r="U37">
            <v>33</v>
          </cell>
          <cell r="W37">
            <v>24</v>
          </cell>
        </row>
      </sheetData>
      <sheetData sheetId="2"/>
      <sheetData sheetId="3"/>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1AE3070-984E-4B8C-B42D-3FE873A75DF3}">
    <nsvFilter filterId="{68110123-C498-403B-B4D0-E8D35F841589}" ref="A1:BI33" tableId="0"/>
  </namedSheetView>
</namedSheetView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h, Hardik" refreshedDate="46195.2306537037" createdVersion="8" refreshedVersion="8" minRefreshableVersion="3" recordCount="26" xr:uid="{CDEF7727-1321-41D6-B0AC-5B2917D0EBB7}">
  <cacheSource type="worksheet">
    <worksheetSource ref="A1:S1048576" sheet="Master PRD Defect Density %"/>
  </cacheSource>
  <cacheFields count="19">
    <cacheField name="Domain" numFmtId="0">
      <sharedItems containsBlank="1"/>
    </cacheField>
    <cacheField name="Workstream" numFmtId="0">
      <sharedItems containsBlank="1" count="5">
        <s v="CEUI"/>
        <s v="Field experience "/>
        <s v="Payment &amp; Billing  "/>
        <m/>
        <s v="Agile Portfolio Mgmt" u="1"/>
      </sharedItems>
    </cacheField>
    <cacheField name="QBR" numFmtId="0">
      <sharedItems containsBlank="1" count="7">
        <s v="Assisted Tools"/>
        <s v="Platform"/>
        <s v="Field Experience"/>
        <s v="XRM"/>
        <s v="BXT"/>
        <s v="Account Services"/>
        <m/>
      </sharedItems>
    </cacheField>
    <cacheField name="Application/Area" numFmtId="0">
      <sharedItems containsBlank="1" count="26">
        <s v="CPOS"/>
        <s v="Xumo"/>
        <s v="Flow Engine (prometheus)"/>
        <s v="Flow Engine (optimus)"/>
        <s v="Celestial (Titan)"/>
        <s v="Celestial (Universal)"/>
        <s v="Right Answers"/>
        <s v="XM360 CBM/Phoenix"/>
        <s v="XM360 Recovery/Reliability"/>
        <s v="XM360 Supersonix"/>
        <s v="XM Velocity 1/Xceeders"/>
        <s v="XM Velocity 2/Xplorers"/>
        <s v="NWT - UI"/>
        <s v="NWT-FSM"/>
        <s v="NWT - PSNB"/>
        <s v="NWT - Core"/>
        <s v="XRM - VOIXM Scrum"/>
        <s v="XRM - Video Scrum"/>
        <s v="XRM - HSD Scrum"/>
        <s v="DevOps"/>
        <s v="Einstein 360"/>
        <s v="Account Services - BRE"/>
        <s v="Account Services - XM PDF"/>
        <s v="Account Services - NOW"/>
        <s v="NWT-FSM 2 (NOVA)"/>
        <m/>
      </sharedItems>
    </cacheField>
    <cacheField name="Active App" numFmtId="0">
      <sharedItems containsBlank="1" count="3">
        <s v="Yes"/>
        <s v="No"/>
        <m/>
      </sharedItems>
    </cacheField>
    <cacheField name="Sp 1 PRD Defect Density % (# defect identified post- production within 23 days of release in H1 Jan / total story points delivered or accepted in sp 1)" numFmtId="0">
      <sharedItems containsString="0" containsBlank="1" containsNumber="1" minValue="0" maxValue="0.1"/>
    </cacheField>
    <cacheField name="Sp 2 PRD Defect Density % (# defect identified post- production of release  within 23 days of release in H2 Jan / total story points delivered or accepted in sp 2)" numFmtId="0">
      <sharedItems containsString="0" containsBlank="1" containsNumber="1" minValue="0" maxValue="3.4482758620689655E-2"/>
    </cacheField>
    <cacheField name="Sp 3 PRD Defect Density % (# defect identified post- production within 23 days of release in H1 Feb / total story points delivered or accepted in sp 3)" numFmtId="0">
      <sharedItems containsString="0" containsBlank="1" containsNumber="1" minValue="0" maxValue="5.5555555555555552E-2"/>
    </cacheField>
    <cacheField name="Sp 4 PRD Defect Density % (# defect identified post- production of release  within 23 days of release in H2 FEb / total story points delivered or accepted in sp 4)" numFmtId="0">
      <sharedItems containsString="0" containsBlank="1" containsNumber="1" minValue="0" maxValue="0.12727272727272726"/>
    </cacheField>
    <cacheField name="Sp 5 PRD Defect Density % (# defect identified post- production within 23 days of release in H1 Mar / total story points delivered or accepted in sp 5)" numFmtId="0">
      <sharedItems containsString="0" containsBlank="1" containsNumber="1" minValue="0" maxValue="0.15384615384615385"/>
    </cacheField>
    <cacheField name="Sp 6 PRD Defect Density % (# defect identified post- production of release  within 23 days of release in H2 Mar / total story points delivered or accepted in sp 6)" numFmtId="0">
      <sharedItems containsString="0" containsBlank="1" containsNumber="1" minValue="0" maxValue="0.10638297872340426"/>
    </cacheField>
    <cacheField name="Avg PRD Defect Density %  Q1 (SP 1 to 6)" numFmtId="0">
      <sharedItems containsString="0" containsBlank="1" containsNumber="1" minValue="0" maxValue="6.7362519853438385E-2"/>
    </cacheField>
    <cacheField name="Sp 7 PRD Defect Density % (# defect identified post- production within 23 days of release in H1 Apr / total story points delivered or accepted in sp 7)" numFmtId="0">
      <sharedItems containsString="0" containsBlank="1" containsNumber="1" minValue="0" maxValue="7.8947368421052627E-2"/>
    </cacheField>
    <cacheField name="Sp 8 PRD Defect Density % (# defect identified post- production of release  within 23 days of release in H2 Apr / total story points delivered or accepted in sp 8)" numFmtId="0">
      <sharedItems containsString="0" containsBlank="1" containsNumber="1" minValue="0" maxValue="5.4794520547945202E-2"/>
    </cacheField>
    <cacheField name="Sp 9 PRD Defect Density % (# defect identified post- production within 23 days of release in H1 May / total story points delivered or accepted in sp 9)" numFmtId="0">
      <sharedItems containsString="0" containsBlank="1" containsNumber="1" minValue="0" maxValue="8.1081080999999999E-2"/>
    </cacheField>
    <cacheField name="Sp 10 PRD Defect Density % (# defect identified post- production of release  within 23 days of release in H2 May / total story points delivered or accepted in sp 10)" numFmtId="0">
      <sharedItems containsString="0" containsBlank="1" containsNumber="1" minValue="0" maxValue="0.06"/>
    </cacheField>
    <cacheField name="Sp 11 PRD Defect Density % (# defect identified post- production within 23 days of release in H1 May / total story points delivered or accepted in sp 11)" numFmtId="9">
      <sharedItems containsString="0" containsBlank="1" containsNumber="1" minValue="0" maxValue="0.1111111111111111"/>
    </cacheField>
    <cacheField name="Sp 12 PRD Defect Density % (# defect identified post- production of release  within 23 days of release in H2 May / total story points delivered or accepted in sp 12)" numFmtId="9">
      <sharedItems containsString="0" containsBlank="1" containsNumber="1" minValue="0" maxValue="0.10526315789473684"/>
    </cacheField>
    <cacheField name="Avg PRD Defect Density %  Q2 (SP 7 to 12)" numFmtId="0">
      <sharedItems containsString="0" containsBlank="1" containsNumber="1" minValue="0" maxValue="4.9024971868021662E-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h, Hardik" refreshedDate="46195.231560300927" createdVersion="8" refreshedVersion="8" minRefreshableVersion="3" recordCount="32" xr:uid="{B5D54F09-49DE-4B03-AD50-01B164BBFC56}">
  <cacheSource type="worksheet">
    <worksheetSource ref="A1:S1048576" sheet="Master Defects"/>
  </cacheSource>
  <cacheFields count="19">
    <cacheField name="Domain" numFmtId="0">
      <sharedItems containsBlank="1"/>
    </cacheField>
    <cacheField name="Workstream" numFmtId="0">
      <sharedItems containsBlank="1" count="5">
        <s v="CEUI"/>
        <s v="Field experience "/>
        <s v="Payment &amp; Billing  "/>
        <s v="Agile Portfolio Mgmt"/>
        <m/>
      </sharedItems>
    </cacheField>
    <cacheField name="QBR" numFmtId="0">
      <sharedItems containsBlank="1" count="7">
        <s v="Assisted Tools"/>
        <s v="Platform"/>
        <s v="Field Experience"/>
        <s v="XRM"/>
        <s v="BXT"/>
        <s v="Account Services"/>
        <m/>
      </sharedItems>
    </cacheField>
    <cacheField name="Application/Area" numFmtId="0">
      <sharedItems containsBlank="1" count="26">
        <s v="CPOS"/>
        <s v="Xumo"/>
        <s v="Flow Engine (prometheus)"/>
        <s v="Flow Engine (optimus)"/>
        <s v="Celestial (Titan)"/>
        <s v="Celestial (Universal)"/>
        <s v="Right Answers"/>
        <s v="XM360 CBM/Phoenix"/>
        <s v="XM360 Recovery/Reliability"/>
        <s v="XM360 Supersonix"/>
        <s v="XM Velocity 1/Xceeders"/>
        <s v="XM Velocity 2/Xplorers"/>
        <s v="NWT - UI"/>
        <s v="NWT-FSM"/>
        <s v="NWT - PSNB"/>
        <s v="NWT - Core"/>
        <s v="XRM - VOIXM Scrum"/>
        <s v="XRM - Video Scrum"/>
        <s v="XRM - HSD Scrum"/>
        <s v="DevOps"/>
        <s v="Einstein 360"/>
        <s v="Account Services - BRE"/>
        <s v="Account Services - XM PDF"/>
        <s v="Account Services - NOW"/>
        <m/>
        <s v="NWT-FSM 2 (NOVA)"/>
      </sharedItems>
    </cacheField>
    <cacheField name="Active App" numFmtId="0">
      <sharedItems containsBlank="1" count="3">
        <s v="Yes"/>
        <s v="No"/>
        <m/>
      </sharedItems>
    </cacheField>
    <cacheField name="Count of all Defects for Sp 1" numFmtId="0">
      <sharedItems containsString="0" containsBlank="1" containsNumber="1" containsInteger="1" minValue="0" maxValue="27"/>
    </cacheField>
    <cacheField name="Count of all Defects for Sp 2" numFmtId="0">
      <sharedItems containsString="0" containsBlank="1" containsNumber="1" containsInteger="1" minValue="0" maxValue="18"/>
    </cacheField>
    <cacheField name="Count of all Defects for Sp 3" numFmtId="0">
      <sharedItems containsString="0" containsBlank="1" containsNumber="1" containsInteger="1" minValue="0" maxValue="19"/>
    </cacheField>
    <cacheField name="Count of all Defects for Sp 4" numFmtId="0">
      <sharedItems containsString="0" containsBlank="1" containsNumber="1" containsInteger="1" minValue="0" maxValue="24"/>
    </cacheField>
    <cacheField name="Count of all Defects for Sp 5" numFmtId="0">
      <sharedItems containsString="0" containsBlank="1" containsNumber="1" containsInteger="1" minValue="0" maxValue="31"/>
    </cacheField>
    <cacheField name="Count of all Defects for Sp 6" numFmtId="0">
      <sharedItems containsString="0" containsBlank="1" containsNumber="1" containsInteger="1" minValue="0" maxValue="81"/>
    </cacheField>
    <cacheField name="Avg Count of all Defects for Q1 (SP 1 to 6)" numFmtId="0">
      <sharedItems containsString="0" containsBlank="1" containsNumber="1" minValue="0" maxValue="25.666666666666668"/>
    </cacheField>
    <cacheField name="Count of all Defects for Sp 7" numFmtId="0">
      <sharedItems containsString="0" containsBlank="1" containsNumber="1" containsInteger="1" minValue="0" maxValue="22"/>
    </cacheField>
    <cacheField name="Count of all Defects for Sp 8" numFmtId="0">
      <sharedItems containsString="0" containsBlank="1" containsNumber="1" containsInteger="1" minValue="0" maxValue="13"/>
    </cacheField>
    <cacheField name="Count of all Defects for Sp 9" numFmtId="0">
      <sharedItems containsString="0" containsBlank="1" containsNumber="1" containsInteger="1" minValue="0" maxValue="14"/>
    </cacheField>
    <cacheField name="Count of all Defects for Sp 10" numFmtId="0">
      <sharedItems containsString="0" containsBlank="1" containsNumber="1" containsInteger="1" minValue="0" maxValue="15"/>
    </cacheField>
    <cacheField name="Count of all Defects for Sp 11" numFmtId="0">
      <sharedItems containsString="0" containsBlank="1" containsNumber="1" containsInteger="1" minValue="0" maxValue="33"/>
    </cacheField>
    <cacheField name="Count of all Defects for Sp 12" numFmtId="0">
      <sharedItems containsString="0" containsBlank="1" containsNumber="1" containsInteger="1" minValue="0" maxValue="19"/>
    </cacheField>
    <cacheField name="Avg Count of all Defects for Q2 (SP 7 to 12)" numFmtId="0">
      <sharedItems containsString="0" containsBlank="1" containsNumber="1" minValue="0" maxValue="17.166666666666668"/>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h, Hardik" refreshedDate="46237.505359722221" createdVersion="8" refreshedVersion="8" minRefreshableVersion="3" recordCount="27" xr:uid="{4A49866E-84DE-4FDF-8C4B-CA51658CEA30}">
  <cacheSource type="worksheet">
    <worksheetSource ref="A1:AT1048576" sheet="Master Data Predictability"/>
  </cacheSource>
  <cacheFields count="47">
    <cacheField name="SL No" numFmtId="0">
      <sharedItems containsString="0" containsBlank="1" containsNumber="1" containsInteger="1" minValue="1" maxValue="25"/>
    </cacheField>
    <cacheField name="Domain" numFmtId="0">
      <sharedItems containsBlank="1"/>
    </cacheField>
    <cacheField name="Workstream" numFmtId="0">
      <sharedItems containsBlank="1" count="4">
        <s v="CEUI "/>
        <s v="Field experience "/>
        <s v="Payment &amp; Billing  "/>
        <m/>
      </sharedItems>
    </cacheField>
    <cacheField name="QBR" numFmtId="0">
      <sharedItems containsBlank="1" count="7">
        <s v="Assisted Tools"/>
        <s v="Platform"/>
        <s v="Field Experience"/>
        <s v="XRM"/>
        <s v="BXT"/>
        <s v="Account Services"/>
        <m/>
      </sharedItems>
    </cacheField>
    <cacheField name="Active App" numFmtId="0">
      <sharedItems containsBlank="1" count="3">
        <s v="Yes"/>
        <s v="No"/>
        <m/>
      </sharedItems>
    </cacheField>
    <cacheField name="Application/Area" numFmtId="0">
      <sharedItems containsBlank="1" count="34">
        <s v="CPOS"/>
        <s v="Xumo"/>
        <s v="Flow Engine (prometheus)"/>
        <s v="Flow Engine (optimus)"/>
        <s v="Celestial (Titan)"/>
        <s v="Celestial (Universal)"/>
        <s v="Right Answers"/>
        <s v="XM360 CBM/Phoenix"/>
        <s v="XM360 Recovery/Reliability"/>
        <s v="XM360 Supersonix"/>
        <s v="XM Velocity 1/Xceeders"/>
        <s v="XM Velocity 2/Xplorers"/>
        <s v="NWT - UI"/>
        <s v="NWT-FSM"/>
        <s v="NWT - PSNB"/>
        <s v="NWT - Core"/>
        <s v="XRM - VOIXM Scrum"/>
        <s v="XRM - Video Scrum"/>
        <s v="XRM - HSD Scrum"/>
        <s v="DevOps"/>
        <s v="Einstein 360"/>
        <s v="Account Services - BRE"/>
        <s v="Account Services - XM PDF"/>
        <s v="Account Services - NOW"/>
        <m/>
        <s v="E2E Testing" u="1"/>
        <s v="Solution Designer" u="1"/>
        <s v="Scrum Master" u="1"/>
        <s v="DBA Scrum" u="1"/>
        <s v="Billing - Quality Engg" u="1"/>
        <s v="Billing Architect" u="1"/>
        <s v="AI Exp Automation" u="1"/>
        <s v="CPOS/Xstore" u="1"/>
        <s v="Xumo (slide needed)" u="1"/>
      </sharedItems>
      <fieldGroup par="46"/>
    </cacheField>
    <cacheField name="Sprint 12 Predictability_x000a_ (# SP accepted in sp 12 / # SP planned into sprint 12)" numFmtId="0">
      <sharedItems containsString="0" containsBlank="1" containsNumber="1" minValue="0.17460317460317459" maxValue="2.4500000000000002"/>
    </cacheField>
    <cacheField name="Sprint 13 Predictability_x000a_ (# SP accepted in sp 13 at end of each sprint / # SP planned into sprint 13)" numFmtId="0">
      <sharedItems containsString="0" containsBlank="1" containsNumber="1" minValue="0.4" maxValue="1.3214285714285714"/>
    </cacheField>
    <cacheField name="Sprint 14 Predictability_x000a_ (# SP accepted in sp 14 / # SP planned into sprint 14)" numFmtId="0">
      <sharedItems containsString="0" containsBlank="1" containsNumber="1" minValue="0.28000000000000003" maxValue="2.1578947368421053"/>
    </cacheField>
    <cacheField name="Sprint 15 Predictability_x000a_ (# SP accepted in sp 15 at end of each sprint / # SP planned into sprint 15)" numFmtId="0">
      <sharedItems containsString="0" containsBlank="1" containsNumber="1" minValue="0.31111111111111112" maxValue="3.5714285714285716"/>
    </cacheField>
    <cacheField name="Sprint 16 Predictability_x000a_ (# SP accepted in sp 16 / # SP planned into sprint 16)" numFmtId="0">
      <sharedItems containsString="0" containsBlank="1" containsNumber="1" minValue="0.26315789473684209" maxValue="5.666666666666667"/>
    </cacheField>
    <cacheField name="Sprint 17 Predictability_x000a_ (# SP accepted in sp 17 at end of each sprint / # SP planned into sprint 17)" numFmtId="0">
      <sharedItems containsString="0" containsBlank="1" containsNumber="1" minValue="0.51162790697674421" maxValue="4.4279999999999999"/>
    </cacheField>
    <cacheField name="Sprint 18 Predictability_x000a_ (# SP accepted in sp 18 / # SP planned into sprint 18)" numFmtId="0">
      <sharedItems containsString="0" containsBlank="1" containsNumber="1" minValue="0.56999999999999995" maxValue="5.666666666666667"/>
    </cacheField>
    <cacheField name="Sprint 19 Predictability_x000a_ (# SP accepted in sp 19 at end of each sprint / # SP planned into sprint 19)" numFmtId="0">
      <sharedItems containsString="0" containsBlank="1" containsNumber="1" minValue="0.5641025641025641" maxValue="4.4000000000000004"/>
    </cacheField>
    <cacheField name="Sprint 20 Predictability_x000a_ (# SP accepted in sp 20 / # SP planned into sprint 20)" numFmtId="0">
      <sharedItems containsString="0" containsBlank="1" containsNumber="1" minValue="0.7" maxValue="5.67"/>
    </cacheField>
    <cacheField name="Sprint 21 Predictability_x000a_ (# SP accepted in sp 21 at end of each sprint / # SP planned into sprint 21)" numFmtId="0">
      <sharedItems containsString="0" containsBlank="1" containsNumber="1" minValue="0.56756756756756754" maxValue="5.33"/>
    </cacheField>
    <cacheField name="Sprint 22 Predictability_x000a_ (# SP accepted in sp 22 / # SP planned into sprint 22)" numFmtId="0">
      <sharedItems containsString="0" containsBlank="1" containsNumber="1" minValue="0.58823529411764708" maxValue="2.125"/>
    </cacheField>
    <cacheField name="Sprint 23 Predictability_x000a_ (# SP accepted in sp 23 at end of each sprint / # SP planned into sprint 23)" numFmtId="0">
      <sharedItems containsString="0" containsBlank="1" containsNumber="1" minValue="0.25" maxValue="2.1"/>
    </cacheField>
    <cacheField name="Sprint 24 Predictability_x000a_ (# SP accepted in sp 24 at end of each sprint / # SP planned into sprint 24)" numFmtId="0">
      <sharedItems containsString="0" containsBlank="1" containsNumber="1" minValue="0.65" maxValue="4.67"/>
    </cacheField>
    <cacheField name="Sprint 25 Predictability_x000a_ (# SP accepted in sp 25 at end of each sprint / # SP planned into sprint 25)" numFmtId="0">
      <sharedItems containsString="0" containsBlank="1" containsNumber="1" minValue="0" maxValue="1.7142857142857142"/>
    </cacheField>
    <cacheField name="Sprint 26 Predictability_x000a_ (# SP accepted in sp 26 at end of each sprint / # SP planned into sprint 26)" numFmtId="0">
      <sharedItems containsString="0" containsBlank="1" containsNumber="1" minValue="0.54545454545454541" maxValue="2"/>
    </cacheField>
    <cacheField name="Avg Predictablity In 2025(SP 12 to 26)" numFmtId="0">
      <sharedItems containsString="0" containsBlank="1" containsNumber="1" minValue="0.72585851305202131" maxValue="3.1714935115566694"/>
    </cacheField>
    <cacheField name="Avg Predictablity In Q3(SP 14 to 19)" numFmtId="0">
      <sharedItems containsString="0" containsBlank="1" containsNumber="1" minValue="0.64772772772772769" maxValue="4.3151094402673351"/>
    </cacheField>
    <cacheField name="Avg Predictablity In Q4(SP 20 to 26)" numFmtId="0">
      <sharedItems containsString="0" containsBlank="1" containsNumber="1" minValue="0.58910211473813567" maxValue="2.6642857142857141"/>
    </cacheField>
    <cacheField name="Sprint 1 Predictability_x000a_ (# SP accepted in sp 1 / # SP planned into sprint 1)" numFmtId="0">
      <sharedItems containsString="0" containsBlank="1" containsNumber="1" minValue="0.39" maxValue="3.25"/>
    </cacheField>
    <cacheField name="Sprint 2 Predictability_x000a_ (# SP accepted in sp 2 / # SP planned into sprint 2)" numFmtId="0">
      <sharedItems containsString="0" containsBlank="1" containsNumber="1" minValue="0.56000000000000005" maxValue="1.76"/>
    </cacheField>
    <cacheField name="Sprint 3 Predictability_x000a_ (# SP accepted in sp 3 / # SP planned into sprint 3)" numFmtId="0">
      <sharedItems containsString="0" containsBlank="1" containsNumber="1" minValue="0.84" maxValue="1.46"/>
    </cacheField>
    <cacheField name="Sprint 4 Predictability_x000a_ (# SP accepted in sp 4 / # SP planned into sprint 4)" numFmtId="0">
      <sharedItems containsString="0" containsBlank="1" containsNumber="1" minValue="0.44" maxValue="1.5"/>
    </cacheField>
    <cacheField name="Sprint 5 Predictability_x000a_ (# SP accepted in sp 5/ # SP planned into sprint 5)" numFmtId="0">
      <sharedItems containsString="0" containsBlank="1" containsNumber="1" minValue="0.28000000000000003" maxValue="12"/>
    </cacheField>
    <cacheField name="Sprint 6 Predictability_x000a_ (# SP accepted in sp 6/ # SP planned into sprint 5)" numFmtId="0">
      <sharedItems containsString="0" containsBlank="1" containsNumber="1" minValue="0.69" maxValue="4.666666666666667"/>
    </cacheField>
    <cacheField name="Avg Predictablity In Q1(SP 1 to 6)" numFmtId="0">
      <sharedItems containsString="0" containsBlank="1" containsNumber="1" minValue="0" maxValue="3.4133333333333336"/>
    </cacheField>
    <cacheField name="Sprint 7 Predictability_x000a_ (# SP accepted in sp 7 / # SP planned into sprint 7)" numFmtId="0">
      <sharedItems containsString="0" containsBlank="1" containsNumber="1" minValue="0.76666666666666672" maxValue="2.0714285714285716"/>
    </cacheField>
    <cacheField name="Sprint 8 Predictability_x000a_ (# SP accepted in sp 8 / # SP planned into sprint 8)" numFmtId="0">
      <sharedItems containsString="0" containsBlank="1" containsNumber="1" minValue="0.58974358974358976" maxValue="2"/>
    </cacheField>
    <cacheField name="Sprint 9 Predictability_x000a_ (# SP accepted in sp 9 / # SP planned into sprint 9)" numFmtId="0">
      <sharedItems containsString="0" containsBlank="1" containsNumber="1" minValue="0.38" maxValue="1.49"/>
    </cacheField>
    <cacheField name="Sprint 10 Predictability_x000a_ (# SP accepted in sp 10 / # SP planned into sprint 10)" numFmtId="0">
      <sharedItems containsString="0" containsBlank="1" containsNumber="1" minValue="0.54" maxValue="3.33"/>
    </cacheField>
    <cacheField name="Sprint 11 Predictability_x000a_ (# SP accepted in sp 11 / # SP planned into sprint 11)" numFmtId="0">
      <sharedItems containsString="0" containsBlank="1" containsNumber="1" minValue="0.625" maxValue="1.7586206896551724"/>
    </cacheField>
    <cacheField name="Sprint 12 Predictability_x000a_ (# SP accepted in sp 12 at end of each sprint / # SP planned into sprint 12 )" numFmtId="0">
      <sharedItems containsString="0" containsBlank="1" containsNumber="1" minValue="0.77966101694915257" maxValue="1.4"/>
    </cacheField>
    <cacheField name="Avg Predictablity In Q2(SP 7 to 12)" numFmtId="0">
      <sharedItems containsString="0" containsBlank="1" containsNumber="1" minValue="0" maxValue="1.5803443223443225"/>
    </cacheField>
    <cacheField name="Sprint 13 Predictability_x000a_ (# SP accepted in sp 13 / # SP planned into sprint 13)" numFmtId="0">
      <sharedItems containsString="0" containsBlank="1" containsNumber="1" minValue="0.7" maxValue="1.6"/>
    </cacheField>
    <cacheField name="Sprint 14 Predictability_x000a_ (# SP accepted in sp 14 / # SP planned into sprint 14)2" numFmtId="0">
      <sharedItems containsString="0" containsBlank="1" containsNumber="1" minValue="0.9" maxValue="3.55"/>
    </cacheField>
    <cacheField name="Sprint 15 Predictability_x000a_ (# SP accepted in sp 15 / # SP planned into sprint 15)" numFmtId="0">
      <sharedItems containsString="0" containsBlank="1" containsNumber="1" minValue="0.81" maxValue="2.71"/>
    </cacheField>
    <cacheField name="Sprint 16 Predictability_x000a_ (# SP accepted in sp 16 / # SP planned into sprint 16)2" numFmtId="0">
      <sharedItems containsNonDate="0" containsString="0" containsBlank="1"/>
    </cacheField>
    <cacheField name="Sprint 17 Predictability_x000a_ (# SP accepted in sp 17 / # SP planned into sprint 17)" numFmtId="0">
      <sharedItems containsNonDate="0" containsString="0" containsBlank="1"/>
    </cacheField>
    <cacheField name="Sprint 18 Predictability_x000a_ (# SP accepted in sp 18 at end of each sprint / # SP planned into sprint 18 )" numFmtId="0">
      <sharedItems containsNonDate="0" containsString="0" containsBlank="1"/>
    </cacheField>
    <cacheField name="Sprint 19 Predictability_x000a_ (# SP accepted in sp 19 at end of each sprint / # SP planned into sprint 19 )" numFmtId="0">
      <sharedItems containsNonDate="0" containsString="0" containsBlank="1"/>
    </cacheField>
    <cacheField name="Avg Predictablity In Q3(SP 13 to 15)" numFmtId="0">
      <sharedItems containsString="0" containsBlank="1" containsNumber="1" minValue="0" maxValue="2.3966666666666665"/>
    </cacheField>
    <cacheField name="Application/Area2" numFmtId="0" databaseField="0">
      <fieldGroup base="5">
        <discretePr count="34">
          <x v="14"/>
          <x v="14"/>
          <x v="14"/>
          <x v="14"/>
          <x v="14"/>
          <x v="14"/>
          <x v="14"/>
          <x v="14"/>
          <x v="0"/>
          <x v="14"/>
          <x v="14"/>
          <x v="14"/>
          <x v="13"/>
          <x v="13"/>
          <x v="13"/>
          <x v="13"/>
          <x v="12"/>
          <x v="12"/>
          <x v="12"/>
          <x v="12"/>
          <x v="1"/>
          <x v="12"/>
          <x v="12"/>
          <x v="12"/>
          <x v="9"/>
          <x v="2"/>
          <x v="3"/>
          <x v="4"/>
          <x v="5"/>
          <x v="6"/>
          <x v="7"/>
          <x v="8"/>
          <x v="10"/>
          <x v="11"/>
        </discretePr>
        <groupItems count="15">
          <s v="XM360 Recovery/Reliability"/>
          <s v="Einstein 360"/>
          <s v="E2E Testing"/>
          <s v="Solution Designer"/>
          <s v="Scrum Master"/>
          <s v="DBA Scrum"/>
          <s v="Billing - Quality Engg"/>
          <s v="Billing Architect"/>
          <s v="AI Exp Automation"/>
          <m/>
          <s v="CPOS/Xstore"/>
          <s v="Xumo (slide needed)"/>
          <s v="Group1"/>
          <s v="Group2"/>
          <s v="Group3"/>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h, Hardik" refreshedDate="46237.565657291663" createdVersion="8" refreshedVersion="8" minRefreshableVersion="3" recordCount="33" xr:uid="{0EA5DF96-1E75-4C67-9532-F66577D60AF8}">
  <cacheSource type="worksheet">
    <worksheetSource ref="A1:BX1048576" sheet="Master Data Velocity"/>
  </cacheSource>
  <cacheFields count="76">
    <cacheField name="Domain" numFmtId="0">
      <sharedItems containsBlank="1"/>
    </cacheField>
    <cacheField name="Workstream" numFmtId="0">
      <sharedItems containsBlank="1" count="4">
        <s v="CEUI"/>
        <s v="Field experience "/>
        <s v="Payment &amp; Billing  "/>
        <m/>
      </sharedItems>
    </cacheField>
    <cacheField name="QBR" numFmtId="0">
      <sharedItems containsBlank="1" count="7">
        <s v="Assisted Tools"/>
        <s v="Platform"/>
        <s v="Field Experience"/>
        <s v="XRM"/>
        <s v="BXT"/>
        <s v="Account Services"/>
        <m/>
      </sharedItems>
    </cacheField>
    <cacheField name="Application/Area" numFmtId="0">
      <sharedItems containsBlank="1" count="26">
        <s v="CPOS"/>
        <s v="Xumo"/>
        <s v="Flow Engine (prometheus)"/>
        <s v="Flow Engine (optimus)"/>
        <s v="Celestial (Titan)"/>
        <s v="Celestial (Universal)"/>
        <s v="Right Answers"/>
        <s v="XM360 CBM/Phoenix"/>
        <s v="XM360 Recovery/Reliability"/>
        <s v="XM360 Supersonix"/>
        <s v="XM Velocity 1/Xceeders"/>
        <s v="XM Velocity 2/Xplorers"/>
        <s v="NWT - UI"/>
        <s v="NWT-FSM"/>
        <s v="NWT - PSNB"/>
        <s v="NWT - Core"/>
        <s v="XRM - VOIXM Scrum"/>
        <s v="XRM - Video Scrum"/>
        <s v="XRM - HSD Scrum"/>
        <s v="DevOps"/>
        <s v="Einstein 360"/>
        <s v="Account Services - BRE"/>
        <s v="Account Services - XM PDF"/>
        <s v="Account Services - NOW"/>
        <s v="NWT-FSM 2 (NOVA)"/>
        <m/>
      </sharedItems>
    </cacheField>
    <cacheField name="Active App" numFmtId="0">
      <sharedItems containsBlank="1" count="3">
        <s v="Yes"/>
        <s v="No"/>
        <m/>
      </sharedItems>
    </cacheField>
    <cacheField name="Story Points accepted in Sp 12" numFmtId="0">
      <sharedItems containsString="0" containsBlank="1" containsNumber="1" minValue="8.5" maxValue="93"/>
    </cacheField>
    <cacheField name="Story Points accepted in Sp 13 to date" numFmtId="0">
      <sharedItems containsString="0" containsBlank="1" containsNumber="1" minValue="8" maxValue="88"/>
    </cacheField>
    <cacheField name="Story Points accepted in Sp 14" numFmtId="0">
      <sharedItems containsString="0" containsBlank="1" containsNumber="1" minValue="10.5" maxValue="85"/>
    </cacheField>
    <cacheField name="Story Points accepted in Sp 15 to date" numFmtId="0">
      <sharedItems containsString="0" containsBlank="1" containsNumber="1" containsInteger="1" minValue="10" maxValue="91"/>
    </cacheField>
    <cacheField name="Developer/QA Count" numFmtId="0">
      <sharedItems containsString="0" containsBlank="1" containsNumber="1" minValue="2" maxValue="11"/>
    </cacheField>
    <cacheField name="Story Points accepted in Sp 16" numFmtId="0">
      <sharedItems containsString="0" containsBlank="1" containsNumber="1" minValue="5" maxValue="92"/>
    </cacheField>
    <cacheField name="Story Points accepted in Sp 17 to date" numFmtId="0">
      <sharedItems containsString="0" containsBlank="1" containsNumber="1" minValue="8" maxValue="79"/>
    </cacheField>
    <cacheField name="Developer/QA Count2" numFmtId="0">
      <sharedItems containsString="0" containsBlank="1" containsNumber="1" minValue="2" maxValue="11"/>
    </cacheField>
    <cacheField name="Story Points accepted in Sp 18" numFmtId="0">
      <sharedItems containsString="0" containsBlank="1" containsNumber="1" minValue="6.5" maxValue="82"/>
    </cacheField>
    <cacheField name="Story Points accepted in Sp 19 to date" numFmtId="0">
      <sharedItems containsString="0" containsBlank="1" containsNumber="1" minValue="9.5" maxValue="92"/>
    </cacheField>
    <cacheField name="Developer/QA Count3" numFmtId="0">
      <sharedItems containsString="0" containsBlank="1" containsNumber="1" minValue="2" maxValue="11"/>
    </cacheField>
    <cacheField name="Developer/QA Count in Q3 (SP 14 to 19)" numFmtId="0">
      <sharedItems containsString="0" containsBlank="1" containsNumber="1" minValue="0" maxValue="11"/>
    </cacheField>
    <cacheField name="Total Story points Delivered across sprints in Q3(SP 14 to 19)" numFmtId="0">
      <sharedItems containsString="0" containsBlank="1" containsNumber="1" containsInteger="1" minValue="0" maxValue="533"/>
    </cacheField>
    <cacheField name="# of Sprints in Q3 (SP 14 to 19)" numFmtId="0">
      <sharedItems containsString="0" containsBlank="1" containsNumber="1" containsInteger="1" minValue="0" maxValue="6"/>
    </cacheField>
    <cacheField name="Avg USP / SP in Q3 (SP 14 to 19)" numFmtId="0">
      <sharedItems containsString="0" containsBlank="1" containsNumber="1" minValue="0" maxValue="88.833333333333329"/>
    </cacheField>
    <cacheField name="Avg USP / Month In Q3(SP 14 to 19)" numFmtId="0">
      <sharedItems containsString="0" containsBlank="1" containsNumber="1" minValue="0" maxValue="177.66666666666666"/>
    </cacheField>
    <cacheField name="Story Points accepted in Sp 20" numFmtId="0">
      <sharedItems containsString="0" containsBlank="1" containsNumber="1" minValue="8.5" maxValue="67"/>
    </cacheField>
    <cacheField name="Story Points accepted in Sp 21 " numFmtId="0">
      <sharedItems containsString="0" containsBlank="1" containsNumber="1" minValue="8" maxValue="78"/>
    </cacheField>
    <cacheField name="Developer/QA Count4" numFmtId="0">
      <sharedItems containsString="0" containsBlank="1" containsNumber="1" minValue="2" maxValue="11"/>
    </cacheField>
    <cacheField name="Story Points accepted in Sp 22" numFmtId="0">
      <sharedItems containsString="0" containsBlank="1" containsNumber="1" minValue="7" maxValue="91"/>
    </cacheField>
    <cacheField name="Story Points accepted in Sp 23" numFmtId="0">
      <sharedItems containsString="0" containsBlank="1" containsNumber="1" containsInteger="1" minValue="7" maxValue="88"/>
    </cacheField>
    <cacheField name="Story Points accepted in Sp 24" numFmtId="0">
      <sharedItems containsString="0" containsBlank="1" containsNumber="1" minValue="5" maxValue="90"/>
    </cacheField>
    <cacheField name="Story Points accepted in Sp 25" numFmtId="0">
      <sharedItems containsString="0" containsBlank="1" containsNumber="1" minValue="2" maxValue="89"/>
    </cacheField>
    <cacheField name="Story Points accepted in Sp 26" numFmtId="0">
      <sharedItems containsString="0" containsBlank="1" containsNumber="1" minValue="5" maxValue="76"/>
    </cacheField>
    <cacheField name="Developer/QA Count in Q4 (SP 20 to 26)" numFmtId="0">
      <sharedItems containsString="0" containsBlank="1" containsNumber="1" minValue="2" maxValue="11"/>
    </cacheField>
    <cacheField name="Total Story points Delivered across sprints in Q4(SP 20 to 26)" numFmtId="0">
      <sharedItems containsString="0" containsBlank="1" containsNumber="1" minValue="61" maxValue="578"/>
    </cacheField>
    <cacheField name="# of Sprints in Q4 (SP 20 to 26)" numFmtId="0">
      <sharedItems containsString="0" containsBlank="1" containsNumber="1" containsInteger="1" minValue="3" maxValue="7"/>
    </cacheField>
    <cacheField name="Avg USP / SP in Q4 (SP 20 to 26)" numFmtId="0">
      <sharedItems containsString="0" containsBlank="1" containsNumber="1" minValue="8.7142857142857135" maxValue="82.571428571428569"/>
    </cacheField>
    <cacheField name="Avg USP / Month In Q4(SP 20 to 26)" numFmtId="0">
      <sharedItems containsString="0" containsBlank="1" containsNumber="1" minValue="17.428571428571427" maxValue="165.14285714285714"/>
    </cacheField>
    <cacheField name="Developer/QA Count5" numFmtId="0">
      <sharedItems containsString="0" containsBlank="1" containsNumber="1" minValue="2" maxValue="11"/>
    </cacheField>
    <cacheField name="Total Story points Delivered across sprints" numFmtId="0">
      <sharedItems containsString="0" containsBlank="1" containsNumber="1" minValue="74" maxValue="1262"/>
    </cacheField>
    <cacheField name="# of Sprints" numFmtId="0">
      <sharedItems containsString="0" containsBlank="1" containsNumber="1" containsInteger="1" minValue="3" maxValue="15"/>
    </cacheField>
    <cacheField name="Avg USP / SP" numFmtId="0">
      <sharedItems containsString="0" containsBlank="1" containsNumber="1" minValue="8.5666666666666664" maxValue="84.13333333333334"/>
    </cacheField>
    <cacheField name="Avg USP / Month" numFmtId="0">
      <sharedItems containsString="0" containsBlank="1" containsNumber="1" minValue="17.133333333333333" maxValue="168.26666666666668"/>
    </cacheField>
    <cacheField name="Story Points accepted in Sp 1" numFmtId="0">
      <sharedItems containsBlank="1" containsMixedTypes="1" containsNumber="1" minValue="0" maxValue="66"/>
    </cacheField>
    <cacheField name="Story Points accepted in Sp 2 to date" numFmtId="0">
      <sharedItems containsBlank="1" containsMixedTypes="1" containsNumber="1" minValue="0" maxValue="79"/>
    </cacheField>
    <cacheField name="Story Points accepted in Sp 3" numFmtId="0">
      <sharedItems containsBlank="1" containsMixedTypes="1" containsNumber="1" minValue="0" maxValue="82"/>
    </cacheField>
    <cacheField name="Story Points accepted in Sp 4 to date" numFmtId="0">
      <sharedItems containsBlank="1" containsMixedTypes="1" containsNumber="1" minValue="0" maxValue="81"/>
    </cacheField>
    <cacheField name="Story Points accepted in Sp 5" numFmtId="0">
      <sharedItems containsString="0" containsBlank="1" containsNumber="1" minValue="0" maxValue="79"/>
    </cacheField>
    <cacheField name="Story Points accepted in Sp 6" numFmtId="0">
      <sharedItems containsString="0" containsBlank="1" containsNumber="1" minValue="0" maxValue="75"/>
    </cacheField>
    <cacheField name="Developer/QA Count in Q1" numFmtId="0">
      <sharedItems containsString="0" containsBlank="1" containsNumber="1" minValue="0" maxValue="11"/>
    </cacheField>
    <cacheField name="Total Story points Delivered across sprints in Q1" numFmtId="0">
      <sharedItems containsString="0" containsBlank="1" containsNumber="1" minValue="0" maxValue="424"/>
    </cacheField>
    <cacheField name="# of Sprints in Q1" numFmtId="0">
      <sharedItems containsString="0" containsBlank="1" containsNumber="1" containsInteger="1" minValue="6" maxValue="6"/>
    </cacheField>
    <cacheField name="Avg USP / SP in Q1  (SP 1 to 6)" numFmtId="0">
      <sharedItems containsString="0" containsBlank="1" containsNumber="1" minValue="0" maxValue="70.666666666666671"/>
    </cacheField>
    <cacheField name="Avg USP / Month In Q1 (SP 1 to 6)" numFmtId="0">
      <sharedItems containsString="0" containsBlank="1" containsNumber="1" minValue="0" maxValue="141.33333333333334"/>
    </cacheField>
    <cacheField name="Story Points accepted in 7 to date" numFmtId="0">
      <sharedItems containsString="0" containsBlank="1" containsNumber="1" minValue="4" maxValue="68"/>
    </cacheField>
    <cacheField name="Story Points accepted in 8 to date" numFmtId="0">
      <sharedItems containsString="0" containsBlank="1" containsNumber="1" minValue="8" maxValue="71"/>
    </cacheField>
    <cacheField name="Story Points accepted in 9 to date" numFmtId="0">
      <sharedItems containsString="0" containsBlank="1" containsNumber="1" containsInteger="1" minValue="8" maxValue="70"/>
    </cacheField>
    <cacheField name="Story Points accepted in 10 to date" numFmtId="0">
      <sharedItems containsString="0" containsBlank="1" containsNumber="1" containsInteger="1" minValue="9" maxValue="75"/>
    </cacheField>
    <cacheField name="Story Points accepted in 11 to date" numFmtId="0">
      <sharedItems containsString="0" containsBlank="1" containsNumber="1" containsInteger="1" minValue="8" maxValue="78"/>
    </cacheField>
    <cacheField name="Story Points accepted in 12 to date" numFmtId="0">
      <sharedItems containsString="0" containsBlank="1" containsNumber="1" minValue="7" maxValue="75"/>
    </cacheField>
    <cacheField name="Developer/QA Count in Q2" numFmtId="0">
      <sharedItems containsString="0" containsBlank="1" containsNumber="1" minValue="1" maxValue="11"/>
    </cacheField>
    <cacheField name="Total Story points Delivered across sprints in Q2" numFmtId="0">
      <sharedItems containsString="0" containsBlank="1" containsNumber="1" minValue="10" maxValue="409"/>
    </cacheField>
    <cacheField name="# of Sprints in Q2" numFmtId="0">
      <sharedItems containsString="0" containsBlank="1" containsNumber="1" containsInteger="1" minValue="1" maxValue="6"/>
    </cacheField>
    <cacheField name="Avg USP / SP in Q2 (SP 7 to 12)" numFmtId="0">
      <sharedItems containsString="0" containsBlank="1" containsNumber="1" minValue="8.5833333333333339" maxValue="68.166666666666671"/>
    </cacheField>
    <cacheField name="Avg USP / Month In Q2(SP 7 to 12)" numFmtId="0">
      <sharedItems containsString="0" containsBlank="1" containsNumber="1" minValue="17.166666666666668" maxValue="136.33333333333334"/>
    </cacheField>
    <cacheField name="RAG (Q1 vs Q2 Δ)" numFmtId="0">
      <sharedItems containsBlank="1"/>
    </cacheField>
    <cacheField name="AVG SP in Q1 with 4 SP" numFmtId="0">
      <sharedItems containsString="0" containsBlank="1" containsNumber="1" minValue="0" maxValue="72"/>
    </cacheField>
    <cacheField name="RAG Q1(4SP) vs Q2 Δ" numFmtId="0">
      <sharedItems containsBlank="1"/>
    </cacheField>
    <cacheField name="Story Points accepted in 13 to date" numFmtId="0">
      <sharedItems containsString="0" containsBlank="1" containsNumber="1" minValue="6.5" maxValue="86"/>
    </cacheField>
    <cacheField name="Story Points accepted in 14 to date" numFmtId="0">
      <sharedItems containsString="0" containsBlank="1" containsNumber="1" containsInteger="1" minValue="10" maxValue="99"/>
    </cacheField>
    <cacheField name="Story Points accepted in 15 to date" numFmtId="0">
      <sharedItems containsString="0" containsBlank="1" containsNumber="1" minValue="10.5" maxValue="96"/>
    </cacheField>
    <cacheField name="Story Points accepted in 16 to date" numFmtId="0">
      <sharedItems containsNonDate="0" containsString="0" containsBlank="1"/>
    </cacheField>
    <cacheField name="Story Points accepted in 17 to date" numFmtId="0">
      <sharedItems containsNonDate="0" containsString="0" containsBlank="1"/>
    </cacheField>
    <cacheField name="Story Points accepted in 18 to date" numFmtId="0">
      <sharedItems containsNonDate="0" containsString="0" containsBlank="1"/>
    </cacheField>
    <cacheField name="Story Points accepted in 18 to date2" numFmtId="0">
      <sharedItems containsNonDate="0" containsString="0" containsBlank="1"/>
    </cacheField>
    <cacheField name="Developer/QA Count in Q22" numFmtId="0">
      <sharedItems containsString="0" containsBlank="1" containsNumber="1" minValue="2" maxValue="11"/>
    </cacheField>
    <cacheField name="Total Story points Delivered across sprints in Q22" numFmtId="0">
      <sharedItems containsString="0" containsBlank="1" containsNumber="1" containsInteger="1" minValue="0" maxValue="259"/>
    </cacheField>
    <cacheField name="# of Sprints in Q22" numFmtId="0">
      <sharedItems containsString="0" containsBlank="1" containsNumber="1" containsInteger="1" minValue="1" maxValue="3"/>
    </cacheField>
    <cacheField name="Avg USP / SP in Q3 (SP 13 to 15)" numFmtId="0">
      <sharedItems containsString="0" containsBlank="1" containsNumber="1" minValue="0" maxValue="86.333333333333329"/>
    </cacheField>
    <cacheField name="Avg USP / Month In Q3(SP 13 to 15)" numFmtId="0">
      <sharedItems containsString="0" containsBlank="1" containsNumber="1" minValue="0" maxValue="172.66666666666666"/>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lian, Bharat" refreshedDate="46237.707451851849" createdVersion="8" refreshedVersion="8" minRefreshableVersion="3" recordCount="73" xr:uid="{439BF3B5-E67C-48FB-AB10-AA7967B4555C}">
  <cacheSource type="worksheet">
    <worksheetSource ref="A1:AT1048576" sheet="Master Productivity"/>
  </cacheSource>
  <cacheFields count="46">
    <cacheField name="SL No" numFmtId="0">
      <sharedItems containsString="0" containsBlank="1" containsNumber="1" containsInteger="1" minValue="1" maxValue="28"/>
    </cacheField>
    <cacheField name="Domain" numFmtId="0">
      <sharedItems containsBlank="1"/>
    </cacheField>
    <cacheField name="Workstream" numFmtId="0">
      <sharedItems containsBlank="1" count="5">
        <s v="CEUI "/>
        <s v="Field experience "/>
        <s v="Payment &amp; Billing  "/>
        <s v="Agile Portfolio Mgmt"/>
        <m/>
      </sharedItems>
    </cacheField>
    <cacheField name="QBR" numFmtId="0">
      <sharedItems containsBlank="1" count="7">
        <s v="Assisted Tools"/>
        <s v="Platform"/>
        <s v="Field Experience"/>
        <s v="XRM"/>
        <s v="BXT"/>
        <s v="Account Services"/>
        <m/>
      </sharedItems>
    </cacheField>
    <cacheField name="Application/Area" numFmtId="0">
      <sharedItems containsBlank="1" count="28">
        <s v="CPOS"/>
        <s v="Xumo"/>
        <s v="Flow Engine (prometheus)"/>
        <s v="Flow Engine (optimus)"/>
        <s v="Celestial (Titan)"/>
        <s v="Celestial (Universal)"/>
        <s v="Right Answers"/>
        <s v="XM360 CBM/Phoenix"/>
        <s v="XM360 Recovery/Reliability"/>
        <s v="XM360 Supersonix"/>
        <s v="XM Velocity 1/Xceeders"/>
        <s v="XM Velocity 2/Xplorers"/>
        <s v="NWT - UI"/>
        <s v="NWT-FSM"/>
        <s v="NWT - PSNB"/>
        <s v="NWT - Core"/>
        <s v="XRM - VOIXM Scrum"/>
        <s v="XRM - Video Scrum"/>
        <s v="XRM - HSD Scrum"/>
        <s v="DevOps"/>
        <s v="Einstein 360"/>
        <s v="Account Services - BRE"/>
        <s v="Account Services - XM PDF"/>
        <s v="Account Services - NOW"/>
        <s v="Scrum Master"/>
        <s v="DBA Scrum"/>
        <s v="NWT-FSM 2 (NOVA)"/>
        <m/>
      </sharedItems>
    </cacheField>
    <cacheField name="Active App" numFmtId="0">
      <sharedItems containsBlank="1" count="3">
        <s v="Yes"/>
        <s v="No"/>
        <m/>
      </sharedItems>
    </cacheField>
    <cacheField name="Sp 12 Scrum Productivity in SP (Velocity by member)" numFmtId="0">
      <sharedItems containsString="0" containsBlank="1" containsNumber="1" minValue="1.6923076923076923" maxValue="9.5714285714285712"/>
    </cacheField>
    <cacheField name="Sp 13 Scrum Productivity in SP (Velocity by member)" numFmtId="0">
      <sharedItems containsString="0" containsBlank="1" containsNumber="1" minValue="3.5555555555555554" maxValue="11.944444444444445"/>
    </cacheField>
    <cacheField name="Sp 14 Scrum Productivity in SP (Velocity by member)" numFmtId="0">
      <sharedItems containsString="0" containsBlank="1" containsNumber="1" minValue="2.2222222222222223" maxValue="12"/>
    </cacheField>
    <cacheField name="Sp 15 Scrum Productivity in SP (Velocity by member)" numFmtId="0">
      <sharedItems containsString="0" containsBlank="1" containsNumber="1" minValue="1.8666666666666667" maxValue="12.5"/>
    </cacheField>
    <cacheField name="Sp 16 Scrum Productivity in SP (Velocity by member)" numFmtId="0">
      <sharedItems containsString="0" containsBlank="1" containsNumber="1" minValue="1.25" maxValue="13.333333333333334"/>
    </cacheField>
    <cacheField name="Sp 17 Scrum Productivity in SP (Velocity by member)" numFmtId="0">
      <sharedItems containsString="0" containsBlank="1" containsNumber="1" minValue="3" maxValue="9.8181818181818183"/>
    </cacheField>
    <cacheField name="Sp 18 Scrum Productivity in SP (Velocity by member)" numFmtId="0">
      <sharedItems containsString="0" containsBlank="1" containsNumber="1" minValue="2.4" maxValue="13.666666666666666"/>
    </cacheField>
    <cacheField name="Sp 19 Scrum Productivity in SP (Velocity by member)" numFmtId="0">
      <sharedItems containsString="0" containsBlank="1" containsNumber="1" minValue="4.3" maxValue="13"/>
    </cacheField>
    <cacheField name="Sp 20 Scrum Productivity in SP (Velocity by member)" numFmtId="0">
      <sharedItems containsString="0" containsBlank="1" containsNumber="1" minValue="3.9" maxValue="16"/>
    </cacheField>
    <cacheField name="Sp 21 Scrum Productivity in SP (Velocity by member)" numFmtId="0">
      <sharedItems containsString="0" containsBlank="1" containsNumber="1" minValue="2.8" maxValue="13"/>
    </cacheField>
    <cacheField name="Sp 22 Scrum Productivity in SP (Velocity by member)" numFmtId="0">
      <sharedItems containsString="0" containsBlank="1" containsNumber="1" minValue="2.9" maxValue="13"/>
    </cacheField>
    <cacheField name="Sp 23 Scrum Productivity in SP (Velocity by member)" numFmtId="0">
      <sharedItems containsString="0" containsBlank="1" containsNumber="1" minValue="3.5" maxValue="14.5"/>
    </cacheField>
    <cacheField name="Sp 24 Scrum Productivity in SP (Velocity by member)" numFmtId="0">
      <sharedItems containsString="0" containsBlank="1" containsNumber="1" minValue="2.1999999999999997" maxValue="13.65"/>
    </cacheField>
    <cacheField name="Sp 25 Scrum Productivity in SP (Velocity by member)" numFmtId="0">
      <sharedItems containsString="0" containsBlank="1" containsNumber="1" minValue="1" maxValue="11"/>
    </cacheField>
    <cacheField name="Sp 26 Scrum Productivity in SP (Velocity by member)" numFmtId="0">
      <sharedItems containsString="0" containsBlank="1" containsNumber="1" minValue="2.25" maxValue="12"/>
    </cacheField>
    <cacheField name="Avg  of 15 SP (From 12 to 26)" numFmtId="0">
      <sharedItems containsString="0" containsBlank="1" containsNumber="1" minValue="3.6251851881481474" maxValue="14"/>
    </cacheField>
    <cacheField name="Avg Of Q3 Sprints(SP 14 to 19)" numFmtId="0">
      <sharedItems containsString="0" containsBlank="1" containsNumber="1" minValue="3.0240740740740741" maxValue="12.142857142857142"/>
    </cacheField>
    <cacheField name="Avg Of Q4 Sprints(SP 20 to 26)" numFmtId="0">
      <sharedItems containsString="0" containsBlank="1" containsNumber="1" minValue="4.2214285714285715" maxValue="12.142857142857142"/>
    </cacheField>
    <cacheField name="Sp 1 Scrum Productivity in SP (Velocity by member)" numFmtId="0">
      <sharedItems containsString="0" containsBlank="1" containsNumber="1" minValue="2" maxValue="14"/>
    </cacheField>
    <cacheField name="Sp 2 Scrum Productivity in SP (Velocity by member)" numFmtId="0">
      <sharedItems containsString="0" containsBlank="1" containsNumber="1" minValue="4.25" maxValue="14"/>
    </cacheField>
    <cacheField name="Sp 3 Scrum Productivity in SP (Velocity by member)" numFmtId="0">
      <sharedItems containsString="0" containsBlank="1" containsNumber="1" minValue="2" maxValue="14"/>
    </cacheField>
    <cacheField name="Sp 4 Scrum Productivity in SP (Velocity by member)" numFmtId="0">
      <sharedItems containsString="0" containsBlank="1" containsNumber="1" minValue="2" maxValue="12"/>
    </cacheField>
    <cacheField name="Sp 5 Scrum Productivity in SP (Velocity by member)" numFmtId="0">
      <sharedItems containsString="0" containsBlank="1" containsNumber="1" minValue="3" maxValue="12.4"/>
    </cacheField>
    <cacheField name="Sp 6 Scrum Productivity in SP (Velocity by member)" numFmtId="0">
      <sharedItems containsString="0" containsBlank="1" containsNumber="1" minValue="3.25" maxValue="10.5"/>
    </cacheField>
    <cacheField name="Avg Of Q1 Sprints(SP 1 to 6)" numFmtId="0">
      <sharedItems containsString="0" containsBlank="1" containsNumber="1" minValue="3.9066666666666663" maxValue="11.828571428571429"/>
    </cacheField>
    <cacheField name="Sp 7 Scrum Productivity in SP (Velocity by member)" numFmtId="0">
      <sharedItems containsString="0" containsBlank="1" containsNumber="1" minValue="0.89" maxValue="13"/>
    </cacheField>
    <cacheField name="Sp 8 Scrum Productivity in SP (Velocity by member)" numFmtId="0">
      <sharedItems containsString="0" containsBlank="1" containsNumber="1" minValue="3.7777777777777777" maxValue="14.2"/>
    </cacheField>
    <cacheField name="Sp 9 Scrum Productivity in SP (Velocity by member)" numFmtId="0">
      <sharedItems containsString="0" containsBlank="1" containsNumber="1" minValue="4" maxValue="14"/>
    </cacheField>
    <cacheField name="Sp 10 Scrum Productivity in SP (Velocity by member)" numFmtId="0">
      <sharedItems containsBlank="1" containsMixedTypes="1" containsNumber="1" minValue="4.5" maxValue="15"/>
    </cacheField>
    <cacheField name="Sp 11 Scrum Productivity in SP (Velocity by member)" numFmtId="0">
      <sharedItems containsString="0" containsBlank="1" containsNumber="1" minValue="4" maxValue="12.5"/>
    </cacheField>
    <cacheField name="Sp 12 Scrum Productivity in SP (Velocity by member)2" numFmtId="0">
      <sharedItems containsString="0" containsBlank="1" containsNumber="1" minValue="3.5" maxValue="13.5"/>
    </cacheField>
    <cacheField name="Avg Of Q2 Sprints(SP 7 to 12)" numFmtId="0">
      <sharedItems containsString="0" containsBlank="1" containsNumber="1" minValue="4.291666666666667" maxValue="13.666666666666666"/>
    </cacheField>
    <cacheField name="Sp 13 Scrum Productivity in SP (Velocity by member)2" numFmtId="0">
      <sharedItems containsString="0" containsBlank="1" containsNumber="1" minValue="3.25" maxValue="13.2"/>
    </cacheField>
    <cacheField name="Sp 14 Scrum Productivity in SP (Velocity by member)2" numFmtId="0">
      <sharedItems containsString="0" containsBlank="1" containsNumber="1" minValue="4.8" maxValue="14"/>
    </cacheField>
    <cacheField name="Sp 15 Scrum Productivity in SP (Velocity by member)2" numFmtId="0">
      <sharedItems containsString="0" containsBlank="1" containsNumber="1" minValue="0" maxValue="15"/>
    </cacheField>
    <cacheField name="Sp 16 Scrum Productivity in SP (Velocity by member)2" numFmtId="0">
      <sharedItems containsNonDate="0" containsString="0" containsBlank="1"/>
    </cacheField>
    <cacheField name="Sp 17 Scrum Productivity in SP (Velocity by member)2" numFmtId="0">
      <sharedItems containsNonDate="0" containsString="0" containsBlank="1"/>
    </cacheField>
    <cacheField name="Sp 18 Scrum Productivity in SP (Velocity by member)2" numFmtId="0">
      <sharedItems containsNonDate="0" containsString="0" containsBlank="1"/>
    </cacheField>
    <cacheField name="Sp 19 Scrum Productivity in SP (Velocity by member)2" numFmtId="0">
      <sharedItems containsNonDate="0" containsString="0" containsBlank="1"/>
    </cacheField>
    <cacheField name="Avg Of Q3 Sprints(SP 13 to 15)" numFmtId="0">
      <sharedItems containsString="0" containsBlank="1" containsNumber="1" minValue="4.5" maxValue="14.06666666666666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
  <r>
    <s v="IXT"/>
    <x v="0"/>
    <x v="0"/>
    <x v="0"/>
    <x v="0"/>
    <n v="0"/>
    <n v="0"/>
    <n v="0"/>
    <n v="0"/>
    <n v="0"/>
    <n v="0"/>
    <n v="0"/>
    <n v="0"/>
    <n v="0"/>
    <n v="0"/>
    <n v="0"/>
    <n v="0.1111111111111111"/>
    <m/>
    <n v="2.222222222222222E-2"/>
  </r>
  <r>
    <s v="IXT"/>
    <x v="0"/>
    <x v="0"/>
    <x v="1"/>
    <x v="0"/>
    <n v="0"/>
    <n v="0"/>
    <n v="0"/>
    <n v="0"/>
    <n v="2.0408163265306121E-2"/>
    <n v="2.1276595744680851E-2"/>
    <n v="6.9474598349978283E-3"/>
    <n v="0"/>
    <n v="0"/>
    <n v="0"/>
    <n v="0"/>
    <n v="0"/>
    <m/>
    <n v="0"/>
  </r>
  <r>
    <s v="IXT"/>
    <x v="0"/>
    <x v="1"/>
    <x v="2"/>
    <x v="0"/>
    <n v="0"/>
    <n v="0"/>
    <n v="0"/>
    <n v="0"/>
    <n v="0"/>
    <n v="0"/>
    <n v="0"/>
    <n v="2.7027027027027029E-2"/>
    <n v="2.9411764705882353E-2"/>
    <n v="8.1081080999999999E-2"/>
    <n v="2.2727272999999999E-2"/>
    <n v="2.0833333333333332E-2"/>
    <n v="2.0618556701030927E-2"/>
    <n v="3.3616505961212274E-2"/>
  </r>
  <r>
    <s v="IXT"/>
    <x v="0"/>
    <x v="1"/>
    <x v="3"/>
    <x v="0"/>
    <n v="0"/>
    <n v="0"/>
    <n v="0"/>
    <n v="0"/>
    <n v="0"/>
    <n v="0"/>
    <n v="0"/>
    <n v="0"/>
    <n v="0"/>
    <n v="0"/>
    <n v="0"/>
    <n v="0"/>
    <m/>
    <n v="0"/>
  </r>
  <r>
    <s v="IXT"/>
    <x v="0"/>
    <x v="1"/>
    <x v="4"/>
    <x v="0"/>
    <n v="0"/>
    <n v="0"/>
    <n v="0"/>
    <n v="0"/>
    <n v="0"/>
    <n v="0"/>
    <n v="0"/>
    <n v="0"/>
    <n v="0"/>
    <n v="0"/>
    <n v="0"/>
    <n v="0"/>
    <n v="0"/>
    <n v="0"/>
  </r>
  <r>
    <s v="IXT"/>
    <x v="0"/>
    <x v="1"/>
    <x v="5"/>
    <x v="0"/>
    <n v="0"/>
    <n v="0"/>
    <n v="0"/>
    <n v="0"/>
    <n v="0"/>
    <n v="0"/>
    <n v="0"/>
    <n v="0"/>
    <n v="0"/>
    <n v="0"/>
    <n v="0"/>
    <n v="1.4084507042253521E-2"/>
    <n v="1.4925373134328358E-2"/>
    <n v="4.8349800294303132E-3"/>
  </r>
  <r>
    <s v="IXT"/>
    <x v="0"/>
    <x v="1"/>
    <x v="6"/>
    <x v="0"/>
    <n v="0"/>
    <n v="0"/>
    <n v="0"/>
    <n v="0"/>
    <n v="0"/>
    <n v="0"/>
    <n v="0"/>
    <n v="0"/>
    <n v="0"/>
    <n v="0"/>
    <n v="0"/>
    <n v="0"/>
    <n v="0"/>
    <n v="0"/>
  </r>
  <r>
    <s v="IXT"/>
    <x v="0"/>
    <x v="0"/>
    <x v="7"/>
    <x v="0"/>
    <n v="0.1"/>
    <n v="3.4482758620689655E-2"/>
    <n v="0"/>
    <n v="0"/>
    <n v="0"/>
    <n v="0"/>
    <n v="2.2413793103448276E-2"/>
    <n v="0"/>
    <n v="0"/>
    <n v="0"/>
    <n v="0"/>
    <n v="0"/>
    <n v="0"/>
    <n v="0"/>
  </r>
  <r>
    <s v="IXT"/>
    <x v="0"/>
    <x v="0"/>
    <x v="8"/>
    <x v="1"/>
    <m/>
    <m/>
    <m/>
    <m/>
    <m/>
    <m/>
    <m/>
    <m/>
    <m/>
    <m/>
    <m/>
    <m/>
    <m/>
    <m/>
  </r>
  <r>
    <s v="IXT"/>
    <x v="0"/>
    <x v="0"/>
    <x v="9"/>
    <x v="0"/>
    <n v="0"/>
    <n v="0"/>
    <n v="0"/>
    <n v="0"/>
    <n v="0"/>
    <n v="0"/>
    <n v="0"/>
    <n v="5.0847457627118647E-2"/>
    <n v="0"/>
    <n v="0"/>
    <n v="0.04"/>
    <n v="9.8039215686274508E-2"/>
    <n v="0.10526315789473684"/>
    <n v="4.9024971868021662E-2"/>
  </r>
  <r>
    <s v="IXT"/>
    <x v="0"/>
    <x v="0"/>
    <x v="10"/>
    <x v="0"/>
    <n v="0"/>
    <n v="0"/>
    <n v="4.5454545454545456E-2"/>
    <n v="0.12727272727272726"/>
    <n v="0.14634146341463414"/>
    <n v="8.5106382978723402E-2"/>
    <n v="6.7362519853438385E-2"/>
    <n v="7.8947368421052627E-2"/>
    <n v="5.2631578947368418E-2"/>
    <n v="0.03"/>
    <n v="0.02"/>
    <n v="2.0408163265306121E-2"/>
    <n v="1.8518518518518517E-2"/>
    <n v="3.6750938192040943E-2"/>
  </r>
  <r>
    <s v="IXT"/>
    <x v="0"/>
    <x v="0"/>
    <x v="11"/>
    <x v="0"/>
    <n v="0"/>
    <n v="2.7027027027027029E-2"/>
    <n v="5.5555555555555552E-2"/>
    <n v="0"/>
    <n v="0.15384615384615385"/>
    <n v="0.10638297872340426"/>
    <n v="5.713528585869012E-2"/>
    <n v="7.3170731707317069E-2"/>
    <n v="5.4794520547945202E-2"/>
    <n v="0"/>
    <n v="0.06"/>
    <n v="0"/>
    <n v="2.1739130434782608E-2"/>
    <n v="3.4950730448340815E-2"/>
  </r>
  <r>
    <s v="IXT"/>
    <x v="1"/>
    <x v="2"/>
    <x v="12"/>
    <x v="0"/>
    <n v="0"/>
    <n v="0"/>
    <n v="0"/>
    <n v="0"/>
    <n v="1.9607843137254902E-2"/>
    <n v="0"/>
    <n v="3.2679738562091504E-3"/>
    <n v="0"/>
    <n v="0"/>
    <n v="0"/>
    <n v="0"/>
    <n v="0"/>
    <m/>
    <n v="0"/>
  </r>
  <r>
    <s v="IXT"/>
    <x v="1"/>
    <x v="2"/>
    <x v="13"/>
    <x v="0"/>
    <n v="0"/>
    <n v="0"/>
    <n v="0"/>
    <n v="0"/>
    <n v="0"/>
    <n v="0"/>
    <n v="0"/>
    <n v="0"/>
    <n v="0"/>
    <n v="0"/>
    <n v="0"/>
    <n v="0"/>
    <m/>
    <n v="0"/>
  </r>
  <r>
    <s v="IXT"/>
    <x v="1"/>
    <x v="2"/>
    <x v="14"/>
    <x v="0"/>
    <n v="0"/>
    <n v="0"/>
    <n v="0"/>
    <n v="0"/>
    <n v="0"/>
    <n v="0"/>
    <n v="0"/>
    <n v="0"/>
    <n v="0"/>
    <n v="0"/>
    <n v="0"/>
    <n v="0"/>
    <m/>
    <n v="0"/>
  </r>
  <r>
    <s v="IXT"/>
    <x v="1"/>
    <x v="2"/>
    <x v="15"/>
    <x v="0"/>
    <n v="4.5454545454545456E-2"/>
    <n v="0"/>
    <n v="0"/>
    <n v="0"/>
    <n v="0"/>
    <m/>
    <n v="9.0909090909090905E-3"/>
    <n v="0"/>
    <n v="0"/>
    <n v="0"/>
    <n v="0"/>
    <m/>
    <m/>
    <n v="0"/>
  </r>
  <r>
    <s v="IXT"/>
    <x v="2"/>
    <x v="3"/>
    <x v="16"/>
    <x v="0"/>
    <n v="0"/>
    <n v="0"/>
    <n v="0"/>
    <n v="0"/>
    <n v="0"/>
    <n v="0"/>
    <n v="0"/>
    <n v="0"/>
    <n v="0"/>
    <n v="0"/>
    <n v="0"/>
    <n v="0"/>
    <n v="0"/>
    <n v="0"/>
  </r>
  <r>
    <s v="IXT"/>
    <x v="2"/>
    <x v="3"/>
    <x v="17"/>
    <x v="0"/>
    <n v="0"/>
    <n v="0"/>
    <n v="0"/>
    <n v="0"/>
    <n v="0"/>
    <n v="0"/>
    <n v="0"/>
    <n v="0"/>
    <n v="0"/>
    <n v="0"/>
    <n v="0"/>
    <n v="0"/>
    <n v="0"/>
    <n v="0"/>
  </r>
  <r>
    <s v="IXT"/>
    <x v="2"/>
    <x v="3"/>
    <x v="18"/>
    <x v="0"/>
    <n v="0"/>
    <n v="0"/>
    <n v="0"/>
    <n v="0"/>
    <n v="0"/>
    <n v="0"/>
    <n v="0"/>
    <n v="0"/>
    <n v="0"/>
    <n v="0"/>
    <n v="0"/>
    <n v="0"/>
    <n v="0"/>
    <n v="0"/>
  </r>
  <r>
    <s v="IXT"/>
    <x v="2"/>
    <x v="4"/>
    <x v="19"/>
    <x v="0"/>
    <n v="0"/>
    <n v="0"/>
    <n v="0"/>
    <n v="0"/>
    <n v="0"/>
    <n v="0"/>
    <n v="0"/>
    <n v="0"/>
    <n v="0"/>
    <m/>
    <m/>
    <m/>
    <m/>
    <n v="0"/>
  </r>
  <r>
    <s v="IXT"/>
    <x v="0"/>
    <x v="0"/>
    <x v="20"/>
    <x v="1"/>
    <m/>
    <m/>
    <m/>
    <m/>
    <m/>
    <m/>
    <m/>
    <m/>
    <m/>
    <m/>
    <m/>
    <m/>
    <m/>
    <m/>
  </r>
  <r>
    <s v="IXT"/>
    <x v="2"/>
    <x v="5"/>
    <x v="21"/>
    <x v="0"/>
    <n v="0"/>
    <n v="0"/>
    <n v="0"/>
    <n v="0"/>
    <n v="0"/>
    <n v="0"/>
    <n v="0"/>
    <n v="0"/>
    <n v="0"/>
    <n v="0"/>
    <n v="0"/>
    <n v="0"/>
    <n v="0"/>
    <n v="0"/>
  </r>
  <r>
    <s v="IXT"/>
    <x v="2"/>
    <x v="5"/>
    <x v="22"/>
    <x v="0"/>
    <n v="0"/>
    <n v="0"/>
    <n v="0"/>
    <n v="0"/>
    <n v="0"/>
    <n v="0"/>
    <n v="0"/>
    <n v="0"/>
    <n v="0"/>
    <n v="0"/>
    <n v="0"/>
    <n v="0"/>
    <n v="0"/>
    <n v="0"/>
  </r>
  <r>
    <s v="IXT"/>
    <x v="2"/>
    <x v="5"/>
    <x v="23"/>
    <x v="0"/>
    <m/>
    <m/>
    <m/>
    <m/>
    <n v="0"/>
    <n v="0"/>
    <n v="0"/>
    <n v="0"/>
    <m/>
    <m/>
    <m/>
    <m/>
    <m/>
    <n v="0"/>
  </r>
  <r>
    <s v="IXT"/>
    <x v="1"/>
    <x v="2"/>
    <x v="24"/>
    <x v="0"/>
    <m/>
    <m/>
    <m/>
    <m/>
    <m/>
    <m/>
    <m/>
    <n v="0"/>
    <n v="0"/>
    <n v="0"/>
    <n v="0"/>
    <n v="0"/>
    <m/>
    <n v="0"/>
  </r>
  <r>
    <m/>
    <x v="3"/>
    <x v="6"/>
    <x v="25"/>
    <x v="2"/>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
  <r>
    <s v="IXT"/>
    <x v="0"/>
    <x v="0"/>
    <x v="0"/>
    <x v="0"/>
    <n v="3"/>
    <n v="11"/>
    <n v="2"/>
    <n v="0"/>
    <n v="2"/>
    <n v="0"/>
    <n v="3"/>
    <n v="4"/>
    <n v="5"/>
    <n v="3"/>
    <n v="4"/>
    <n v="6"/>
    <m/>
    <n v="4.4000000000000004"/>
  </r>
  <r>
    <s v="IXT"/>
    <x v="0"/>
    <x v="0"/>
    <x v="1"/>
    <x v="0"/>
    <n v="0"/>
    <n v="0"/>
    <n v="0"/>
    <n v="0"/>
    <n v="1"/>
    <n v="1"/>
    <n v="0.33333333333333331"/>
    <n v="0"/>
    <n v="0"/>
    <n v="0"/>
    <n v="0"/>
    <n v="0"/>
    <m/>
    <n v="0"/>
  </r>
  <r>
    <s v="IXT"/>
    <x v="0"/>
    <x v="1"/>
    <x v="2"/>
    <x v="0"/>
    <n v="27"/>
    <n v="9"/>
    <n v="19"/>
    <n v="15"/>
    <n v="31"/>
    <n v="13"/>
    <n v="19"/>
    <n v="3"/>
    <n v="2"/>
    <n v="7"/>
    <n v="10"/>
    <n v="16"/>
    <n v="11"/>
    <n v="8.1666666666666661"/>
  </r>
  <r>
    <s v="IXT"/>
    <x v="0"/>
    <x v="1"/>
    <x v="3"/>
    <x v="0"/>
    <m/>
    <m/>
    <m/>
    <m/>
    <n v="0"/>
    <n v="0"/>
    <n v="0"/>
    <n v="0"/>
    <n v="0"/>
    <n v="0"/>
    <n v="0"/>
    <n v="0"/>
    <m/>
    <n v="0"/>
  </r>
  <r>
    <s v="IXT"/>
    <x v="0"/>
    <x v="1"/>
    <x v="4"/>
    <x v="0"/>
    <n v="2"/>
    <n v="0"/>
    <n v="3"/>
    <n v="1"/>
    <n v="0"/>
    <n v="0"/>
    <n v="1"/>
    <n v="0"/>
    <n v="0"/>
    <n v="0"/>
    <n v="0"/>
    <n v="0"/>
    <n v="1"/>
    <n v="0.16666666666666666"/>
  </r>
  <r>
    <s v="IXT"/>
    <x v="0"/>
    <x v="1"/>
    <x v="5"/>
    <x v="0"/>
    <n v="2"/>
    <n v="0"/>
    <n v="1"/>
    <n v="3"/>
    <n v="0"/>
    <n v="0"/>
    <n v="1"/>
    <n v="0"/>
    <n v="0"/>
    <n v="1"/>
    <n v="2"/>
    <n v="3"/>
    <n v="1"/>
    <n v="1.1666666666666667"/>
  </r>
  <r>
    <s v="IXT"/>
    <x v="0"/>
    <x v="1"/>
    <x v="6"/>
    <x v="0"/>
    <n v="0"/>
    <n v="0"/>
    <n v="0"/>
    <n v="0"/>
    <n v="1"/>
    <n v="1"/>
    <n v="0.33333333333333331"/>
    <n v="2"/>
    <n v="0"/>
    <n v="2"/>
    <n v="0"/>
    <n v="0"/>
    <n v="0"/>
    <n v="0.66666666666666663"/>
  </r>
  <r>
    <s v="IXT"/>
    <x v="0"/>
    <x v="0"/>
    <x v="7"/>
    <x v="0"/>
    <n v="5"/>
    <n v="7"/>
    <n v="9"/>
    <n v="24"/>
    <n v="28"/>
    <n v="81"/>
    <n v="25.666666666666668"/>
    <n v="22"/>
    <n v="7"/>
    <n v="3"/>
    <n v="8"/>
    <n v="8"/>
    <n v="8"/>
    <n v="9.3333333333333339"/>
  </r>
  <r>
    <s v="IXT"/>
    <x v="0"/>
    <x v="0"/>
    <x v="8"/>
    <x v="1"/>
    <m/>
    <m/>
    <m/>
    <m/>
    <m/>
    <m/>
    <n v="0"/>
    <m/>
    <m/>
    <m/>
    <m/>
    <m/>
    <m/>
    <n v="0"/>
  </r>
  <r>
    <s v="IXT"/>
    <x v="0"/>
    <x v="0"/>
    <x v="9"/>
    <x v="0"/>
    <n v="4"/>
    <n v="2"/>
    <n v="12"/>
    <n v="5"/>
    <n v="5"/>
    <n v="19"/>
    <n v="7.833333333333333"/>
    <n v="17"/>
    <n v="8"/>
    <n v="14"/>
    <n v="12"/>
    <n v="33"/>
    <n v="19"/>
    <n v="17.166666666666668"/>
  </r>
  <r>
    <s v="IXT"/>
    <x v="0"/>
    <x v="0"/>
    <x v="10"/>
    <x v="0"/>
    <n v="6"/>
    <n v="18"/>
    <n v="19"/>
    <n v="21"/>
    <n v="18"/>
    <n v="9"/>
    <n v="15.166666666666666"/>
    <n v="10"/>
    <n v="13"/>
    <n v="9"/>
    <n v="15"/>
    <n v="11"/>
    <n v="15"/>
    <n v="12.166666666666666"/>
  </r>
  <r>
    <s v="IXT"/>
    <x v="0"/>
    <x v="0"/>
    <x v="11"/>
    <x v="0"/>
    <n v="3"/>
    <n v="4"/>
    <n v="10"/>
    <n v="8"/>
    <n v="9"/>
    <n v="14"/>
    <n v="8"/>
    <n v="8"/>
    <n v="9"/>
    <n v="3"/>
    <n v="11"/>
    <n v="10"/>
    <n v="14"/>
    <n v="9.1666666666666661"/>
  </r>
  <r>
    <s v="IXT"/>
    <x v="1"/>
    <x v="2"/>
    <x v="12"/>
    <x v="0"/>
    <n v="6"/>
    <n v="4"/>
    <n v="6"/>
    <n v="3"/>
    <n v="1"/>
    <n v="2"/>
    <n v="3.6666666666666665"/>
    <n v="4"/>
    <n v="3"/>
    <n v="4"/>
    <n v="0"/>
    <n v="3"/>
    <m/>
    <n v="2.8"/>
  </r>
  <r>
    <s v="IXT"/>
    <x v="1"/>
    <x v="2"/>
    <x v="13"/>
    <x v="0"/>
    <n v="0"/>
    <n v="0"/>
    <n v="0"/>
    <n v="0"/>
    <n v="0"/>
    <n v="0"/>
    <n v="0"/>
    <n v="0"/>
    <n v="0"/>
    <n v="0"/>
    <n v="0"/>
    <n v="0"/>
    <m/>
    <n v="0"/>
  </r>
  <r>
    <s v="IXT"/>
    <x v="1"/>
    <x v="2"/>
    <x v="14"/>
    <x v="0"/>
    <n v="4"/>
    <n v="3"/>
    <n v="3"/>
    <n v="1"/>
    <n v="1"/>
    <n v="1"/>
    <n v="2.1666666666666665"/>
    <n v="1"/>
    <n v="1"/>
    <n v="1"/>
    <n v="1"/>
    <n v="2"/>
    <m/>
    <n v="1.2"/>
  </r>
  <r>
    <s v="IXT"/>
    <x v="1"/>
    <x v="2"/>
    <x v="15"/>
    <x v="0"/>
    <n v="0"/>
    <n v="0"/>
    <n v="2"/>
    <n v="0"/>
    <n v="0"/>
    <m/>
    <n v="0.4"/>
    <n v="0"/>
    <n v="0"/>
    <n v="0"/>
    <n v="0"/>
    <n v="0"/>
    <m/>
    <n v="0"/>
  </r>
  <r>
    <s v="IXT"/>
    <x v="2"/>
    <x v="3"/>
    <x v="16"/>
    <x v="0"/>
    <n v="0"/>
    <n v="2"/>
    <n v="0"/>
    <n v="0"/>
    <n v="1"/>
    <n v="0"/>
    <n v="0.5"/>
    <n v="0"/>
    <n v="0"/>
    <n v="0"/>
    <n v="0"/>
    <n v="0"/>
    <n v="0"/>
    <n v="0"/>
  </r>
  <r>
    <s v="IXT"/>
    <x v="2"/>
    <x v="3"/>
    <x v="17"/>
    <x v="0"/>
    <n v="0"/>
    <n v="0"/>
    <n v="0"/>
    <n v="0"/>
    <n v="0"/>
    <n v="0"/>
    <n v="0"/>
    <n v="0"/>
    <n v="0"/>
    <n v="0"/>
    <n v="0"/>
    <n v="0"/>
    <n v="0"/>
    <n v="0"/>
  </r>
  <r>
    <s v="IXT"/>
    <x v="2"/>
    <x v="3"/>
    <x v="18"/>
    <x v="0"/>
    <n v="0"/>
    <n v="6"/>
    <n v="0"/>
    <n v="0"/>
    <n v="0"/>
    <n v="0"/>
    <n v="1"/>
    <n v="0"/>
    <n v="0"/>
    <n v="0"/>
    <n v="0"/>
    <n v="0"/>
    <n v="0"/>
    <n v="0"/>
  </r>
  <r>
    <s v="IXT"/>
    <x v="2"/>
    <x v="4"/>
    <x v="19"/>
    <x v="0"/>
    <m/>
    <m/>
    <m/>
    <m/>
    <m/>
    <m/>
    <n v="0"/>
    <n v="0"/>
    <n v="0"/>
    <n v="0"/>
    <n v="0"/>
    <n v="0"/>
    <m/>
    <n v="0"/>
  </r>
  <r>
    <s v="IXT"/>
    <x v="0"/>
    <x v="0"/>
    <x v="20"/>
    <x v="1"/>
    <m/>
    <m/>
    <m/>
    <m/>
    <m/>
    <m/>
    <n v="0"/>
    <m/>
    <m/>
    <m/>
    <m/>
    <m/>
    <m/>
    <n v="0"/>
  </r>
  <r>
    <s v="IXT"/>
    <x v="2"/>
    <x v="5"/>
    <x v="21"/>
    <x v="0"/>
    <m/>
    <m/>
    <m/>
    <m/>
    <m/>
    <m/>
    <n v="0"/>
    <m/>
    <m/>
    <n v="0"/>
    <n v="0"/>
    <n v="0"/>
    <n v="0"/>
    <n v="0"/>
  </r>
  <r>
    <s v="IXT"/>
    <x v="2"/>
    <x v="5"/>
    <x v="22"/>
    <x v="0"/>
    <m/>
    <m/>
    <m/>
    <m/>
    <m/>
    <m/>
    <n v="0"/>
    <m/>
    <m/>
    <n v="0"/>
    <n v="0"/>
    <n v="0"/>
    <n v="0"/>
    <n v="0"/>
  </r>
  <r>
    <s v="IXT"/>
    <x v="2"/>
    <x v="5"/>
    <x v="23"/>
    <x v="0"/>
    <m/>
    <m/>
    <m/>
    <m/>
    <m/>
    <m/>
    <n v="0"/>
    <m/>
    <m/>
    <m/>
    <m/>
    <m/>
    <m/>
    <n v="0"/>
  </r>
  <r>
    <s v="IXT"/>
    <x v="3"/>
    <x v="6"/>
    <x v="24"/>
    <x v="2"/>
    <m/>
    <m/>
    <m/>
    <m/>
    <m/>
    <m/>
    <m/>
    <m/>
    <m/>
    <m/>
    <m/>
    <m/>
    <m/>
    <n v="0"/>
  </r>
  <r>
    <s v="IXT"/>
    <x v="3"/>
    <x v="6"/>
    <x v="24"/>
    <x v="2"/>
    <m/>
    <m/>
    <m/>
    <m/>
    <m/>
    <m/>
    <m/>
    <m/>
    <m/>
    <m/>
    <m/>
    <m/>
    <m/>
    <n v="0"/>
  </r>
  <r>
    <s v="IXT"/>
    <x v="1"/>
    <x v="2"/>
    <x v="25"/>
    <x v="0"/>
    <m/>
    <m/>
    <m/>
    <m/>
    <m/>
    <m/>
    <m/>
    <m/>
    <m/>
    <n v="0"/>
    <n v="0"/>
    <n v="0"/>
    <m/>
    <n v="0"/>
  </r>
  <r>
    <s v="IXT"/>
    <x v="4"/>
    <x v="6"/>
    <x v="24"/>
    <x v="2"/>
    <m/>
    <m/>
    <m/>
    <m/>
    <m/>
    <m/>
    <m/>
    <m/>
    <m/>
    <m/>
    <m/>
    <m/>
    <m/>
    <m/>
  </r>
  <r>
    <s v="IXT"/>
    <x v="4"/>
    <x v="6"/>
    <x v="24"/>
    <x v="2"/>
    <m/>
    <m/>
    <m/>
    <m/>
    <m/>
    <m/>
    <m/>
    <m/>
    <m/>
    <m/>
    <m/>
    <m/>
    <m/>
    <m/>
  </r>
  <r>
    <s v="IXT"/>
    <x v="4"/>
    <x v="6"/>
    <x v="24"/>
    <x v="2"/>
    <m/>
    <m/>
    <m/>
    <m/>
    <m/>
    <m/>
    <m/>
    <m/>
    <m/>
    <m/>
    <m/>
    <m/>
    <m/>
    <m/>
  </r>
  <r>
    <s v="IXT"/>
    <x v="4"/>
    <x v="6"/>
    <x v="24"/>
    <x v="2"/>
    <m/>
    <m/>
    <m/>
    <m/>
    <m/>
    <m/>
    <m/>
    <m/>
    <m/>
    <m/>
    <m/>
    <m/>
    <m/>
    <m/>
  </r>
  <r>
    <m/>
    <x v="4"/>
    <x v="6"/>
    <x v="24"/>
    <x v="2"/>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
  <r>
    <n v="1"/>
    <s v="IXT"/>
    <x v="0"/>
    <x v="0"/>
    <x v="0"/>
    <x v="0"/>
    <m/>
    <m/>
    <m/>
    <m/>
    <m/>
    <m/>
    <m/>
    <m/>
    <m/>
    <m/>
    <m/>
    <m/>
    <n v="4.67"/>
    <n v="1.69"/>
    <n v="0.89"/>
    <n v="2.4166666666666665"/>
    <m/>
    <n v="2.4166666666666665"/>
    <n v="0.39"/>
    <n v="1.04"/>
    <n v="1.32"/>
    <n v="0.67"/>
    <n v="0.28000000000000003"/>
    <n v="4.666666666666667"/>
    <n v="1.3944444444444446"/>
    <n v="2.0714285714285716"/>
    <n v="0.58974358974358976"/>
    <n v="0.61"/>
    <n v="0.54"/>
    <n v="0.67500000000000004"/>
    <m/>
    <n v="0.89723443223443233"/>
    <n v="0.86"/>
    <n v="0.91"/>
    <m/>
    <m/>
    <m/>
    <m/>
    <m/>
    <n v="0.88500000000000001"/>
  </r>
  <r>
    <n v="2"/>
    <s v="IXT"/>
    <x v="0"/>
    <x v="0"/>
    <x v="0"/>
    <x v="1"/>
    <n v="1.1355932203389831"/>
    <n v="1.3214285714285714"/>
    <n v="1.1029411764705883"/>
    <n v="0.88709677419354838"/>
    <n v="0.84482758620689657"/>
    <n v="1.0384615384615385"/>
    <n v="0.9642857142857143"/>
    <n v="1"/>
    <n v="0.921875"/>
    <n v="0.89830508474576276"/>
    <n v="0.96"/>
    <n v="1.05"/>
    <n v="1.0454545454545454"/>
    <n v="0.94827586206896552"/>
    <n v="0.54545454545454541"/>
    <n v="0.97759997460731074"/>
    <n v="0.97293546493638106"/>
    <n v="0.90990929110340268"/>
    <n v="1.1599999999999999"/>
    <n v="0.98"/>
    <n v="1.1499999999999999"/>
    <n v="1.1100000000000001"/>
    <n v="1.2"/>
    <n v="1.21"/>
    <n v="1.135"/>
    <n v="1.1627906976744187"/>
    <n v="1.2045454545454546"/>
    <n v="1.1299999999999999"/>
    <n v="1.1100000000000001"/>
    <n v="1.06"/>
    <m/>
    <n v="1.1334672304439746"/>
    <n v="1.17"/>
    <n v="1.38"/>
    <m/>
    <m/>
    <m/>
    <m/>
    <m/>
    <n v="1.2749999999999999"/>
  </r>
  <r>
    <n v="3"/>
    <s v="IXT"/>
    <x v="0"/>
    <x v="1"/>
    <x v="0"/>
    <x v="2"/>
    <n v="0.7567567567567568"/>
    <n v="0.91428571428571426"/>
    <n v="0.55555555555555558"/>
    <n v="0.65"/>
    <n v="0.81081081081081086"/>
    <n v="0.69"/>
    <n v="0.56999999999999995"/>
    <n v="0.61"/>
    <n v="0.7"/>
    <n v="0.83"/>
    <n v="0.75"/>
    <n v="0.67"/>
    <n v="0.90123456790123457"/>
    <n v="0.797752808988764"/>
    <n v="0.68148148148148147"/>
    <n v="0.72585851305202131"/>
    <n v="0.64772772772772769"/>
    <n v="0.7614955511959256"/>
    <n v="0.52"/>
    <n v="0.85"/>
    <n v="0.84"/>
    <n v="0.78"/>
    <n v="0.86"/>
    <n v="0.7"/>
    <n v="0.7583333333333333"/>
    <n v="0.86046511627906974"/>
    <n v="0.82926829268292679"/>
    <n v="0.84"/>
    <n v="0.89"/>
    <n v="0.84955752212389379"/>
    <n v="0.94174757281553401"/>
    <n v="0.86850641731690414"/>
    <n v="0.96"/>
    <n v="0.98"/>
    <m/>
    <m/>
    <m/>
    <m/>
    <m/>
    <n v="0.97"/>
  </r>
  <r>
    <n v="4"/>
    <s v="IXT"/>
    <x v="0"/>
    <x v="1"/>
    <x v="0"/>
    <x v="3"/>
    <n v="1.8888888888888888"/>
    <n v="1.1428571428571428"/>
    <n v="2.1578947368421053"/>
    <n v="3.5714285714285716"/>
    <n v="5.666666666666667"/>
    <n v="4.4279999999999999"/>
    <n v="5.666666666666667"/>
    <n v="4.4000000000000004"/>
    <n v="5.67"/>
    <n v="5.33"/>
    <n v="1.4"/>
    <n v="2"/>
    <n v="1.5"/>
    <n v="1.4166666666666667"/>
    <n v="1.3333333333333333"/>
    <n v="3.1714935115566694"/>
    <n v="4.3151094402673351"/>
    <n v="2.6642857142857141"/>
    <n v="3.25"/>
    <n v="0.71"/>
    <n v="1.46"/>
    <n v="1.43"/>
    <n v="12"/>
    <n v="1.63"/>
    <n v="3.4133333333333336"/>
    <n v="1.2142857142857142"/>
    <n v="1.2307692307692308"/>
    <n v="1.06"/>
    <n v="3.33"/>
    <n v="1.0666666666666667"/>
    <m/>
    <n v="1.5803443223443225"/>
    <n v="0.76"/>
    <n v="0.95"/>
    <n v="0.81"/>
    <m/>
    <m/>
    <m/>
    <m/>
    <n v="0.84"/>
  </r>
  <r>
    <n v="5"/>
    <s v="IXT"/>
    <x v="0"/>
    <x v="1"/>
    <x v="0"/>
    <x v="4"/>
    <n v="0.78333333333333333"/>
    <n v="0.87755102040816324"/>
    <n v="0.84507042253521125"/>
    <n v="1.0273972602739727"/>
    <n v="0.98765432098765427"/>
    <n v="0.72307692307692306"/>
    <n v="0.97619047619047616"/>
    <n v="0.94366197183098588"/>
    <n v="1"/>
    <n v="1.04"/>
    <n v="1"/>
    <n v="0.83"/>
    <n v="1.1111111111111112"/>
    <n v="1"/>
    <n v="1"/>
    <n v="0.94300312264985531"/>
    <n v="0.91717522914920391"/>
    <n v="0.99730158730158736"/>
    <n v="1"/>
    <n v="1"/>
    <n v="1.0900000000000001"/>
    <n v="1"/>
    <n v="1"/>
    <n v="1"/>
    <n v="1.0149999999999999"/>
    <n v="0.95522388059701491"/>
    <n v="1"/>
    <n v="1"/>
    <n v="1.03"/>
    <n v="0.92307692307692313"/>
    <n v="0.92307692307692313"/>
    <n v="0.97189628779181036"/>
    <n v="1"/>
    <n v="1"/>
    <n v="1"/>
    <m/>
    <m/>
    <m/>
    <m/>
    <n v="1"/>
  </r>
  <r>
    <n v="6"/>
    <s v="IXT"/>
    <x v="0"/>
    <x v="1"/>
    <x v="0"/>
    <x v="5"/>
    <n v="0.8571428571428571"/>
    <n v="0.86363636363636365"/>
    <n v="1"/>
    <n v="1.0625"/>
    <n v="1.0888888888888888"/>
    <n v="0.81355932203389836"/>
    <n v="0.92105263157894735"/>
    <n v="1"/>
    <n v="1"/>
    <n v="0.89"/>
    <n v="0.98305084745762716"/>
    <n v="0.93"/>
    <n v="0.98113207547169812"/>
    <n v="0.8833333333333333"/>
    <n v="0.98484848484848486"/>
    <n v="0.95060965362613981"/>
    <n v="0.98100014041695571"/>
    <n v="0.95033782015873469"/>
    <n v="1"/>
    <n v="0.98"/>
    <n v="1.03"/>
    <n v="1.21"/>
    <n v="1"/>
    <n v="0.96"/>
    <n v="1.03"/>
    <n v="1"/>
    <n v="0.97014925373134331"/>
    <n v="1"/>
    <n v="0.99"/>
    <n v="1.0597014925373134"/>
    <n v="1"/>
    <n v="1.0033084577114428"/>
    <n v="1.07"/>
    <n v="1.01"/>
    <n v="0.97"/>
    <m/>
    <m/>
    <m/>
    <m/>
    <n v="1.0166666666666666"/>
  </r>
  <r>
    <n v="7"/>
    <s v="IXT"/>
    <x v="0"/>
    <x v="1"/>
    <x v="0"/>
    <x v="6"/>
    <n v="0.80952380952380953"/>
    <n v="1"/>
    <n v="0.88235294117647056"/>
    <n v="0.89473684210526316"/>
    <n v="1"/>
    <n v="0.72"/>
    <n v="0.68"/>
    <n v="0.89655172413793105"/>
    <n v="0.78260869565217395"/>
    <n v="0.68181818181818177"/>
    <n v="0.58823529411764708"/>
    <n v="0.25"/>
    <n v="0.65"/>
    <n v="0.42105263157894735"/>
    <n v="0.75"/>
    <n v="0.73379200800736155"/>
    <n v="0.84560691790327736"/>
    <n v="0.58910211473813567"/>
    <n v="0.67"/>
    <n v="0.56000000000000005"/>
    <n v="1"/>
    <n v="0.44"/>
    <n v="1"/>
    <n v="0.87"/>
    <n v="0.75666666666666671"/>
    <n v="1.0952380952380953"/>
    <n v="0.86206896551724133"/>
    <n v="0.69"/>
    <n v="1"/>
    <n v="1.2666666666666666"/>
    <n v="1.4"/>
    <n v="1.0523289545703338"/>
    <n v="1"/>
    <n v="1.2"/>
    <n v="1"/>
    <m/>
    <m/>
    <m/>
    <m/>
    <n v="1.0666666666666667"/>
  </r>
  <r>
    <n v="8"/>
    <s v="IXT"/>
    <x v="0"/>
    <x v="0"/>
    <x v="0"/>
    <x v="7"/>
    <n v="0.93103448275862066"/>
    <n v="0.4"/>
    <n v="0.28000000000000003"/>
    <n v="0.94029850746268662"/>
    <n v="0.75"/>
    <n v="0.80882352941176472"/>
    <n v="0.60344827586206895"/>
    <n v="0.79166666666666663"/>
    <n v="1.2884615384615385"/>
    <n v="1.1186440677966101"/>
    <n v="1.0327868852459017"/>
    <n v="1.28"/>
    <n v="1.0169491525423728"/>
    <n v="1.2580645161290323"/>
    <n v="1.1081081081081081"/>
    <n v="0.90721904869635805"/>
    <n v="0.69570616323386447"/>
    <n v="1.1575734668976521"/>
    <n v="1"/>
    <n v="1.1599999999999999"/>
    <n v="1.1100000000000001"/>
    <n v="1.33"/>
    <n v="0.89"/>
    <n v="1.39"/>
    <n v="1.1466666666666667"/>
    <n v="1.1599999999999999"/>
    <n v="0.97619047619047616"/>
    <n v="1.24"/>
    <n v="1.03"/>
    <n v="1.1142857142857143"/>
    <n v="1.2250000000000001"/>
    <n v="1.1242460317460317"/>
    <n v="1.37"/>
    <n v="1.02"/>
    <n v="0.93"/>
    <m/>
    <m/>
    <m/>
    <m/>
    <n v="1.1066666666666667"/>
  </r>
  <r>
    <n v="9"/>
    <s v="IXT"/>
    <x v="0"/>
    <x v="0"/>
    <x v="1"/>
    <x v="8"/>
    <n v="1.7741935483870968"/>
    <n v="0.8928571428571429"/>
    <n v="1.1590909090909092"/>
    <n v="1.2647058823529411"/>
    <n v="1.0465116279069768"/>
    <n v="1.375"/>
    <n v="0.875"/>
    <n v="0.88372093023255816"/>
    <n v="0.95744680851063835"/>
    <n v="0.94545454545454544"/>
    <n v="1.0535714285714286"/>
    <n v="1"/>
    <n v="1.02"/>
    <n v="1.0416666666666667"/>
    <n v="1"/>
    <n v="1.0859479660020601"/>
    <n v="1.1006715582638975"/>
    <n v="1.0025913498861827"/>
    <m/>
    <m/>
    <m/>
    <m/>
    <m/>
    <m/>
    <n v="0"/>
    <m/>
    <m/>
    <m/>
    <m/>
    <m/>
    <m/>
    <n v="0"/>
    <m/>
    <m/>
    <m/>
    <m/>
    <m/>
    <m/>
    <m/>
    <m/>
  </r>
  <r>
    <n v="10"/>
    <s v="IXT"/>
    <x v="0"/>
    <x v="0"/>
    <x v="0"/>
    <x v="9"/>
    <n v="0.6428571428571429"/>
    <n v="0.9285714285714286"/>
    <n v="1.4146341463414633"/>
    <n v="1"/>
    <n v="1"/>
    <n v="1.0444444444444445"/>
    <n v="1"/>
    <n v="0.5641025641025641"/>
    <n v="1.0769230769230769"/>
    <n v="1"/>
    <n v="1.5"/>
    <n v="1.34"/>
    <n v="1.1379310344827587"/>
    <n v="1.173913043478261"/>
    <n v="1.0357142857142858"/>
    <n v="1.0572727444610284"/>
    <n v="1.0038635258147453"/>
    <n v="1.1806402057997689"/>
    <n v="1"/>
    <n v="1"/>
    <n v="0.99"/>
    <n v="1.3"/>
    <n v="1.27"/>
    <n v="1.74"/>
    <n v="1.2166666666666668"/>
    <n v="1.4390243902439024"/>
    <n v="1.375"/>
    <n v="1.49"/>
    <n v="1.5"/>
    <n v="1.7586206896551724"/>
    <n v="1.0857142857142856"/>
    <n v="1.4413932276022268"/>
    <n v="1.2"/>
    <n v="1.43"/>
    <n v="1.29"/>
    <m/>
    <m/>
    <m/>
    <m/>
    <n v="1.3066666666666666"/>
  </r>
  <r>
    <n v="11"/>
    <s v="IXT"/>
    <x v="0"/>
    <x v="0"/>
    <x v="0"/>
    <x v="10"/>
    <n v="0.17460317460317459"/>
    <n v="0.55405405405405406"/>
    <n v="0.76923076923076927"/>
    <n v="0.38095238095238093"/>
    <n v="1.05"/>
    <n v="0.51162790697674421"/>
    <n v="0.70731707317073167"/>
    <n v="0.75"/>
    <n v="0.95833333333333337"/>
    <n v="1.28125"/>
    <n v="1"/>
    <n v="1.02"/>
    <n v="0.86046511627906974"/>
    <n v="0.91"/>
    <n v="0.57777777777777772"/>
    <n v="0.7670407724252023"/>
    <n v="0.69485468838843767"/>
    <n v="0.94397517534145436"/>
    <n v="0.9"/>
    <n v="0.82"/>
    <n v="0.92"/>
    <n v="1.41"/>
    <n v="1.17"/>
    <n v="1.1499999999999999"/>
    <n v="1.0616666666666665"/>
    <n v="2"/>
    <n v="1"/>
    <n v="1.1599999999999999"/>
    <n v="1.37"/>
    <n v="1.0425531914893618"/>
    <n v="1.2857142857142858"/>
    <n v="1.309711246200608"/>
    <n v="1.6"/>
    <n v="1.32"/>
    <m/>
    <m/>
    <m/>
    <m/>
    <m/>
    <n v="1.46"/>
  </r>
  <r>
    <n v="12"/>
    <s v="IXT"/>
    <x v="0"/>
    <x v="0"/>
    <x v="0"/>
    <x v="11"/>
    <n v="0.32"/>
    <n v="0.9178082191780822"/>
    <n v="1.4814814814814814"/>
    <n v="0.31111111111111112"/>
    <n v="0.51020408163265307"/>
    <n v="0.67567567567567566"/>
    <n v="0.76190476190476186"/>
    <n v="0.63636363636363635"/>
    <n v="0.78"/>
    <n v="0.56756756756756754"/>
    <n v="0.96666666666666667"/>
    <n v="0.95"/>
    <n v="0.68085106382978722"/>
    <n v="1.1299999999999999"/>
    <n v="0.8529411764705882"/>
    <n v="0.76950502945880084"/>
    <n v="0.72945679136155339"/>
    <n v="0.84686092493351561"/>
    <n v="1.1200000000000001"/>
    <n v="1.06"/>
    <n v="1.06"/>
    <n v="1.31"/>
    <n v="0.87"/>
    <n v="1.34"/>
    <n v="1.1266666666666667"/>
    <n v="1.8636363636363635"/>
    <n v="1.2586206896551724"/>
    <n v="1"/>
    <n v="1.38"/>
    <n v="0.9821428571428571"/>
    <n v="0.77966101694915257"/>
    <n v="1.2106768212305907"/>
    <m/>
    <m/>
    <m/>
    <m/>
    <m/>
    <m/>
    <m/>
    <n v="0"/>
  </r>
  <r>
    <n v="13"/>
    <s v="IXT"/>
    <x v="1"/>
    <x v="2"/>
    <x v="0"/>
    <x v="12"/>
    <n v="1.1549295774647887"/>
    <n v="0.79452054794520544"/>
    <n v="1"/>
    <n v="1.03"/>
    <n v="1.0900000000000001"/>
    <n v="1.01"/>
    <n v="1.59"/>
    <n v="1.77"/>
    <n v="1.39"/>
    <n v="0.83"/>
    <n v="0.76"/>
    <n v="0.66"/>
    <n v="0.86075949367088611"/>
    <n v="0.71084337349397586"/>
    <n v="0.78260869565217395"/>
    <n v="1.0289107792151353"/>
    <n v="1.2483333333333333"/>
    <n v="0.85631593754529078"/>
    <n v="1.07"/>
    <n v="0.86"/>
    <n v="0.96"/>
    <n v="0.88"/>
    <n v="0.73"/>
    <n v="0.69"/>
    <n v="0.86499999999999988"/>
    <n v="0.78"/>
    <n v="0.72727272727272729"/>
    <n v="0.71"/>
    <n v="1.22"/>
    <n v="0.625"/>
    <m/>
    <n v="0.81245454545454554"/>
    <n v="0.7"/>
    <n v="0.9"/>
    <n v="1.1200000000000001"/>
    <m/>
    <m/>
    <m/>
    <m/>
    <n v="0.90666666666666673"/>
  </r>
  <r>
    <n v="14"/>
    <s v="IXT"/>
    <x v="1"/>
    <x v="2"/>
    <x v="0"/>
    <x v="13"/>
    <m/>
    <m/>
    <m/>
    <n v="1"/>
    <n v="0.85"/>
    <n v="1.18"/>
    <n v="1.27"/>
    <n v="1"/>
    <n v="1.1299999999999999"/>
    <n v="1.43"/>
    <n v="1"/>
    <n v="0.84"/>
    <n v="1.2857142857142858"/>
    <n v="1"/>
    <n v="0.96"/>
    <n v="1.0788095238095237"/>
    <n v="1.06"/>
    <n v="1.0922448979591837"/>
    <n v="1"/>
    <n v="1"/>
    <m/>
    <n v="1.5"/>
    <n v="0.81"/>
    <n v="0.89"/>
    <n v="1.04"/>
    <n v="0.76666666666666672"/>
    <n v="0.95454545454545459"/>
    <n v="0.76"/>
    <n v="1.26"/>
    <n v="0.89473684210526316"/>
    <m/>
    <n v="0.92718979266347679"/>
    <n v="0.93"/>
    <n v="3.55"/>
    <n v="2.71"/>
    <m/>
    <m/>
    <m/>
    <m/>
    <n v="2.3966666666666665"/>
  </r>
  <r>
    <n v="15"/>
    <s v="IXT"/>
    <x v="1"/>
    <x v="2"/>
    <x v="0"/>
    <x v="14"/>
    <n v="0.94444444444444442"/>
    <n v="1"/>
    <n v="0.73809523809523814"/>
    <n v="0.95"/>
    <n v="1.06"/>
    <n v="1"/>
    <n v="0.78"/>
    <n v="1"/>
    <n v="1.08"/>
    <n v="1.1000000000000001"/>
    <n v="0.84"/>
    <n v="1.0900000000000001"/>
    <n v="1.6445783132530118"/>
    <n v="1.7142857142857142"/>
    <n v="0.88235294117647056"/>
    <n v="1.0549171100836587"/>
    <n v="0.92134920634920636"/>
    <n v="1.1930309955307425"/>
    <n v="1.48"/>
    <n v="0.97"/>
    <n v="0.85"/>
    <n v="0.7"/>
    <n v="1.03"/>
    <n v="0.82"/>
    <n v="0.97500000000000009"/>
    <n v="1.0625"/>
    <n v="0.70588235294117652"/>
    <n v="0.85"/>
    <n v="0.64"/>
    <n v="0.91666666666666663"/>
    <m/>
    <n v="0.83500980392156876"/>
    <n v="1.22"/>
    <m/>
    <m/>
    <m/>
    <m/>
    <m/>
    <m/>
    <n v="1.22"/>
  </r>
  <r>
    <n v="16"/>
    <s v="IXT"/>
    <x v="1"/>
    <x v="2"/>
    <x v="0"/>
    <x v="15"/>
    <n v="0.98936170212765961"/>
    <n v="1.1733333333333333"/>
    <n v="1.0240963855421688"/>
    <n v="1.07"/>
    <n v="1.08"/>
    <n v="1.04"/>
    <n v="1.01"/>
    <n v="1.1299999999999999"/>
    <n v="0.94"/>
    <n v="1.0900000000000001"/>
    <n v="1.3"/>
    <n v="1.04"/>
    <n v="1"/>
    <n v="1"/>
    <n v="1.027027027027027"/>
    <n v="1.0609212298686794"/>
    <n v="1.0590160642570281"/>
    <n v="1.0567181467181468"/>
    <n v="0.93"/>
    <n v="1.76"/>
    <n v="1.22"/>
    <n v="1.05"/>
    <n v="1"/>
    <m/>
    <n v="1.1919999999999999"/>
    <n v="1"/>
    <n v="1"/>
    <n v="0.94"/>
    <n v="0.97"/>
    <m/>
    <m/>
    <n v="0.97750000000000004"/>
    <m/>
    <m/>
    <m/>
    <m/>
    <m/>
    <m/>
    <m/>
    <m/>
  </r>
  <r>
    <n v="17"/>
    <s v="IXT"/>
    <x v="2"/>
    <x v="3"/>
    <x v="0"/>
    <x v="16"/>
    <n v="0.94117647058823528"/>
    <n v="1.0588235294117647"/>
    <n v="0.90625"/>
    <n v="1.1351351351351351"/>
    <n v="0.9285714285714286"/>
    <n v="0.91935483870967738"/>
    <n v="0.91489361702127658"/>
    <n v="0.91803278688524592"/>
    <n v="1.06"/>
    <n v="0.95"/>
    <n v="1.04"/>
    <n v="0.96"/>
    <n v="1.0350877192982457"/>
    <n v="1"/>
    <n v="1"/>
    <n v="0.98448836837473408"/>
    <n v="0.95370630105379395"/>
    <n v="1.0064411027568922"/>
    <n v="1.23"/>
    <n v="1.04"/>
    <n v="0.98"/>
    <n v="1.01"/>
    <n v="1"/>
    <n v="1"/>
    <n v="1.0433333333333332"/>
    <n v="1.103448275862069"/>
    <n v="1"/>
    <n v="1.02"/>
    <n v="0.92"/>
    <n v="1"/>
    <n v="1"/>
    <n v="1.0072413793103447"/>
    <n v="0.96"/>
    <n v="1"/>
    <n v="1"/>
    <m/>
    <m/>
    <m/>
    <m/>
    <n v="0.98666666666666669"/>
  </r>
  <r>
    <n v="18"/>
    <s v="IXT"/>
    <x v="2"/>
    <x v="3"/>
    <x v="0"/>
    <x v="17"/>
    <n v="2.4500000000000002"/>
    <n v="0.98648648648648651"/>
    <n v="0.90789473684210531"/>
    <n v="0.97435897435897434"/>
    <n v="0.98809523809523814"/>
    <n v="0.97222222222222221"/>
    <n v="0.91304347826086951"/>
    <n v="0.93670886075949367"/>
    <n v="1"/>
    <n v="0.99"/>
    <n v="1.04"/>
    <n v="0.99"/>
    <n v="1.0151515151515151"/>
    <n v="0.93055555555555558"/>
    <n v="0.88135593220338981"/>
    <n v="1.0650581999957234"/>
    <n v="0.94872058508981716"/>
    <n v="0.97815185755863721"/>
    <n v="1"/>
    <n v="1"/>
    <n v="1.03"/>
    <n v="1"/>
    <n v="0.99"/>
    <n v="1"/>
    <n v="1.0033333333333334"/>
    <n v="0.98550724637681164"/>
    <n v="0.8970588235294118"/>
    <n v="0.92"/>
    <n v="0.97"/>
    <n v="0.97499999999999998"/>
    <n v="0.91463414634146345"/>
    <n v="0.94370003604128117"/>
    <n v="0.96"/>
    <n v="0.9"/>
    <n v="0.93"/>
    <m/>
    <m/>
    <m/>
    <m/>
    <n v="0.93"/>
  </r>
  <r>
    <n v="19"/>
    <s v="IXT"/>
    <x v="2"/>
    <x v="3"/>
    <x v="0"/>
    <x v="18"/>
    <n v="0.97323600973236002"/>
    <n v="0.875"/>
    <n v="0.92"/>
    <n v="1"/>
    <n v="0.8867924528301887"/>
    <n v="1"/>
    <n v="0.93220338983050843"/>
    <n v="1.0384615384615385"/>
    <n v="0.93"/>
    <n v="0.94"/>
    <n v="0.92"/>
    <n v="0.71"/>
    <n v="0.94339622641509435"/>
    <n v="0.85964912280701755"/>
    <n v="0.94444444444444442"/>
    <n v="0.92487887896807686"/>
    <n v="0.96290956352037249"/>
    <n v="0.89249854195236522"/>
    <n v="0.97"/>
    <n v="0.88"/>
    <n v="1.02"/>
    <n v="0.95"/>
    <n v="1.03"/>
    <n v="0.9"/>
    <n v="0.95833333333333348"/>
    <n v="1.0535714285714286"/>
    <n v="0.90639625585023409"/>
    <n v="0.97"/>
    <n v="0.93"/>
    <n v="0.81818181818181823"/>
    <n v="1.1428571428571428"/>
    <n v="0.97016777424343736"/>
    <n v="0.97"/>
    <n v="0.98"/>
    <n v="1.02"/>
    <m/>
    <m/>
    <m/>
    <m/>
    <n v="0.98999999999999988"/>
  </r>
  <r>
    <n v="20"/>
    <s v="IXT"/>
    <x v="2"/>
    <x v="4"/>
    <x v="0"/>
    <x v="19"/>
    <n v="1.3148148148148149"/>
    <n v="0.83076923076923082"/>
    <n v="0.78873239436619713"/>
    <n v="0.81428571428571428"/>
    <n v="0.90740740740740744"/>
    <n v="0.77777777777777779"/>
    <n v="1.0166666666666666"/>
    <n v="0.94827586206896552"/>
    <n v="0.94827586206896552"/>
    <n v="0.94117647058823528"/>
    <n v="0.86"/>
    <n v="0.96"/>
    <n v="0.91"/>
    <n v="0.9"/>
    <n v="0.73"/>
    <n v="0.90987881338759835"/>
    <n v="0.87552430376212154"/>
    <n v="0.8927789046653144"/>
    <n v="0.98"/>
    <n v="1"/>
    <n v="0.96"/>
    <n v="0.88"/>
    <n v="1.05"/>
    <n v="1"/>
    <n v="0.97833333333333339"/>
    <n v="1"/>
    <n v="0.92307692307692313"/>
    <n v="0.88"/>
    <m/>
    <n v="1"/>
    <m/>
    <n v="0.95076923076923081"/>
    <n v="1"/>
    <n v="0.93"/>
    <m/>
    <m/>
    <m/>
    <m/>
    <m/>
    <n v="0.96500000000000008"/>
  </r>
  <r>
    <n v="21"/>
    <s v="IXT"/>
    <x v="0"/>
    <x v="0"/>
    <x v="1"/>
    <x v="20"/>
    <m/>
    <m/>
    <m/>
    <m/>
    <n v="0.26315789473684209"/>
    <n v="1.28"/>
    <n v="1.2222222222222223"/>
    <n v="1.0476190476190477"/>
    <n v="1.0666666666666667"/>
    <n v="1"/>
    <n v="0.86"/>
    <n v="2.1"/>
    <n v="2.7"/>
    <n v="1.1818181818181819"/>
    <n v="2"/>
    <n v="1.3383167284602691"/>
    <n v="0.9532497911445279"/>
    <n v="1.5583549783549784"/>
    <m/>
    <m/>
    <m/>
    <m/>
    <m/>
    <m/>
    <m/>
    <m/>
    <m/>
    <m/>
    <m/>
    <m/>
    <m/>
    <n v="0"/>
    <m/>
    <m/>
    <m/>
    <m/>
    <m/>
    <m/>
    <m/>
    <m/>
  </r>
  <r>
    <n v="22"/>
    <s v="IXT"/>
    <x v="2"/>
    <x v="5"/>
    <x v="0"/>
    <x v="21"/>
    <m/>
    <m/>
    <m/>
    <m/>
    <m/>
    <m/>
    <m/>
    <m/>
    <n v="1"/>
    <n v="1"/>
    <n v="1"/>
    <n v="1"/>
    <n v="1"/>
    <n v="1"/>
    <n v="1"/>
    <n v="1"/>
    <m/>
    <n v="1"/>
    <n v="1"/>
    <n v="1"/>
    <n v="1"/>
    <n v="0.88"/>
    <n v="1"/>
    <n v="1"/>
    <n v="0.98"/>
    <n v="1"/>
    <n v="1"/>
    <n v="1"/>
    <n v="1"/>
    <n v="1"/>
    <n v="1"/>
    <n v="1"/>
    <n v="0.95"/>
    <n v="1"/>
    <n v="1"/>
    <m/>
    <m/>
    <m/>
    <m/>
    <n v="0.98333333333333339"/>
  </r>
  <r>
    <n v="23"/>
    <s v="IXT"/>
    <x v="2"/>
    <x v="5"/>
    <x v="0"/>
    <x v="22"/>
    <m/>
    <m/>
    <m/>
    <m/>
    <m/>
    <m/>
    <m/>
    <m/>
    <n v="1"/>
    <n v="1"/>
    <n v="2.125"/>
    <n v="1.04"/>
    <n v="1.64"/>
    <n v="0"/>
    <n v="1"/>
    <n v="1.115"/>
    <m/>
    <n v="1.115"/>
    <n v="1"/>
    <n v="1"/>
    <n v="1"/>
    <n v="1.03"/>
    <n v="1"/>
    <n v="1"/>
    <n v="1.0050000000000001"/>
    <n v="1"/>
    <n v="1.3333333333333333"/>
    <n v="1"/>
    <n v="1"/>
    <n v="1"/>
    <n v="1"/>
    <n v="1.0555555555555556"/>
    <n v="0.84"/>
    <n v="1"/>
    <n v="0.82"/>
    <m/>
    <m/>
    <m/>
    <m/>
    <n v="0.8866666666666666"/>
  </r>
  <r>
    <n v="24"/>
    <s v="IXT"/>
    <x v="2"/>
    <x v="5"/>
    <x v="0"/>
    <x v="23"/>
    <m/>
    <m/>
    <m/>
    <m/>
    <m/>
    <m/>
    <m/>
    <m/>
    <m/>
    <m/>
    <m/>
    <m/>
    <m/>
    <m/>
    <m/>
    <m/>
    <m/>
    <m/>
    <m/>
    <m/>
    <m/>
    <m/>
    <m/>
    <m/>
    <m/>
    <n v="1"/>
    <m/>
    <m/>
    <m/>
    <m/>
    <m/>
    <n v="1"/>
    <m/>
    <m/>
    <m/>
    <m/>
    <m/>
    <m/>
    <m/>
    <m/>
  </r>
  <r>
    <n v="25"/>
    <s v="IXT"/>
    <x v="1"/>
    <x v="2"/>
    <x v="0"/>
    <x v="13"/>
    <m/>
    <m/>
    <m/>
    <m/>
    <m/>
    <m/>
    <m/>
    <m/>
    <m/>
    <m/>
    <m/>
    <m/>
    <m/>
    <m/>
    <m/>
    <m/>
    <m/>
    <m/>
    <m/>
    <m/>
    <m/>
    <m/>
    <m/>
    <m/>
    <m/>
    <m/>
    <n v="2"/>
    <n v="0.38"/>
    <n v="1.06"/>
    <n v="0.9375"/>
    <m/>
    <n v="1.0943749999999999"/>
    <n v="0.93"/>
    <m/>
    <m/>
    <m/>
    <m/>
    <m/>
    <m/>
    <n v="0.93"/>
  </r>
  <r>
    <m/>
    <m/>
    <x v="3"/>
    <x v="6"/>
    <x v="2"/>
    <x v="24"/>
    <m/>
    <m/>
    <m/>
    <m/>
    <m/>
    <m/>
    <m/>
    <m/>
    <m/>
    <m/>
    <m/>
    <m/>
    <m/>
    <m/>
    <m/>
    <m/>
    <m/>
    <m/>
    <m/>
    <m/>
    <m/>
    <m/>
    <m/>
    <m/>
    <m/>
    <m/>
    <m/>
    <m/>
    <m/>
    <m/>
    <m/>
    <m/>
    <m/>
    <m/>
    <m/>
    <m/>
    <m/>
    <m/>
    <m/>
    <m/>
  </r>
  <r>
    <m/>
    <m/>
    <x v="3"/>
    <x v="6"/>
    <x v="2"/>
    <x v="24"/>
    <m/>
    <m/>
    <m/>
    <m/>
    <m/>
    <m/>
    <m/>
    <m/>
    <m/>
    <m/>
    <m/>
    <m/>
    <m/>
    <m/>
    <m/>
    <m/>
    <m/>
    <m/>
    <m/>
    <m/>
    <m/>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
  <r>
    <s v="IXT"/>
    <x v="0"/>
    <x v="0"/>
    <x v="0"/>
    <x v="0"/>
    <m/>
    <m/>
    <m/>
    <m/>
    <m/>
    <m/>
    <m/>
    <m/>
    <m/>
    <m/>
    <m/>
    <n v="0"/>
    <n v="0"/>
    <n v="0"/>
    <n v="0"/>
    <n v="0"/>
    <m/>
    <m/>
    <m/>
    <m/>
    <m/>
    <n v="28"/>
    <n v="22"/>
    <n v="39"/>
    <n v="6"/>
    <n v="89"/>
    <n v="3"/>
    <n v="29.666666666666668"/>
    <n v="59.333333333333336"/>
    <n v="6"/>
    <n v="89"/>
    <n v="3"/>
    <n v="29.666666666666668"/>
    <n v="59.333333333333336"/>
    <n v="13"/>
    <n v="27"/>
    <n v="33"/>
    <n v="22"/>
    <n v="12"/>
    <n v="42"/>
    <n v="4"/>
    <n v="149"/>
    <n v="6"/>
    <n v="24.833333333333332"/>
    <n v="49.666666666666664"/>
    <n v="29"/>
    <n v="23"/>
    <n v="14"/>
    <n v="13"/>
    <n v="27"/>
    <n v="32"/>
    <n v="4"/>
    <n v="138"/>
    <n v="6"/>
    <n v="23"/>
    <n v="46"/>
    <s v="▼ 1.83"/>
    <n v="23.75"/>
    <s v="▼ 0.75"/>
    <n v="32"/>
    <n v="29"/>
    <m/>
    <m/>
    <m/>
    <m/>
    <m/>
    <n v="4"/>
    <n v="61"/>
    <n v="2"/>
    <n v="30.5"/>
    <n v="61"/>
  </r>
  <r>
    <s v="IXT"/>
    <x v="0"/>
    <x v="0"/>
    <x v="1"/>
    <x v="0"/>
    <n v="67"/>
    <n v="74"/>
    <n v="75"/>
    <n v="55"/>
    <n v="7"/>
    <n v="49"/>
    <n v="54"/>
    <n v="6"/>
    <n v="54"/>
    <n v="56"/>
    <n v="6"/>
    <n v="6.5"/>
    <n v="356"/>
    <n v="6"/>
    <n v="59.333333333333336"/>
    <n v="118.66666666666667"/>
    <n v="59"/>
    <n v="53"/>
    <n v="6.5"/>
    <n v="52"/>
    <n v="67"/>
    <n v="69"/>
    <n v="55"/>
    <n v="24"/>
    <n v="6.5"/>
    <n v="385.5"/>
    <n v="7"/>
    <n v="55.071428571428569"/>
    <n v="110.14285714285714"/>
    <n v="6.5"/>
    <n v="863"/>
    <n v="15"/>
    <n v="57.533333333333331"/>
    <n v="115.06666666666666"/>
    <n v="43"/>
    <n v="40"/>
    <n v="46"/>
    <n v="52"/>
    <n v="49"/>
    <n v="52"/>
    <n v="5.5"/>
    <n v="282"/>
    <n v="6"/>
    <n v="47"/>
    <n v="94"/>
    <n v="50"/>
    <n v="53"/>
    <n v="53"/>
    <n v="52"/>
    <n v="53"/>
    <n v="59"/>
    <n v="5"/>
    <n v="320"/>
    <n v="6"/>
    <n v="53.333333333333336"/>
    <n v="106.66666666666667"/>
    <s v="▲ 6.33"/>
    <n v="45.25"/>
    <s v="▲ 8.08"/>
    <n v="54"/>
    <n v="69"/>
    <n v="51"/>
    <m/>
    <m/>
    <m/>
    <m/>
    <n v="5"/>
    <n v="174"/>
    <n v="3"/>
    <n v="58"/>
    <n v="116"/>
  </r>
  <r>
    <s v="IXT"/>
    <x v="0"/>
    <x v="1"/>
    <x v="2"/>
    <x v="0"/>
    <n v="28"/>
    <n v="28"/>
    <n v="20"/>
    <n v="26"/>
    <n v="9"/>
    <n v="30"/>
    <n v="27"/>
    <n v="9"/>
    <n v="22"/>
    <n v="39"/>
    <n v="9"/>
    <n v="9"/>
    <n v="182"/>
    <n v="6"/>
    <n v="30.333333333333332"/>
    <n v="60.666666666666664"/>
    <n v="35"/>
    <n v="45"/>
    <n v="9"/>
    <n v="36"/>
    <n v="32"/>
    <n v="36.5"/>
    <n v="35.5"/>
    <n v="46"/>
    <n v="9"/>
    <n v="275"/>
    <n v="7"/>
    <n v="39.285714285714285"/>
    <n v="78.571428571428569"/>
    <n v="9"/>
    <n v="486"/>
    <n v="15"/>
    <n v="32.4"/>
    <n v="64.8"/>
    <n v="27"/>
    <n v="39"/>
    <n v="36"/>
    <n v="39"/>
    <n v="38"/>
    <n v="32"/>
    <n v="9"/>
    <n v="211"/>
    <n v="6"/>
    <n v="35.166666666666664"/>
    <n v="70.333333333333329"/>
    <n v="37"/>
    <n v="34"/>
    <n v="37"/>
    <n v="44"/>
    <n v="48"/>
    <n v="48.5"/>
    <n v="9"/>
    <n v="248.5"/>
    <n v="6"/>
    <n v="41.416666666666664"/>
    <n v="82.833333333333329"/>
    <s v="▲ 6.25"/>
    <n v="35.25"/>
    <s v="▲ 6.17"/>
    <n v="45"/>
    <n v="50"/>
    <n v="51"/>
    <m/>
    <m/>
    <m/>
    <m/>
    <n v="9"/>
    <n v="146"/>
    <n v="3"/>
    <n v="48.666666666666664"/>
    <n v="97.333333333333329"/>
  </r>
  <r>
    <s v="IXT"/>
    <x v="0"/>
    <x v="1"/>
    <x v="3"/>
    <x v="0"/>
    <n v="8.5"/>
    <n v="8"/>
    <n v="10.5"/>
    <n v="10"/>
    <n v="2"/>
    <n v="8.5"/>
    <n v="8"/>
    <n v="2"/>
    <n v="6.5"/>
    <n v="9.5"/>
    <n v="2"/>
    <n v="2"/>
    <n v="57"/>
    <n v="6"/>
    <n v="9.5"/>
    <n v="19"/>
    <n v="8.5"/>
    <n v="8"/>
    <n v="2"/>
    <n v="7"/>
    <n v="10"/>
    <n v="9"/>
    <n v="8.5"/>
    <n v="8"/>
    <n v="2"/>
    <n v="61"/>
    <n v="7"/>
    <n v="8.7142857142857135"/>
    <n v="17.428571428571427"/>
    <n v="2"/>
    <n v="128.5"/>
    <n v="15"/>
    <n v="8.5666666666666664"/>
    <n v="17.133333333333333"/>
    <n v="6.5"/>
    <n v="8.5"/>
    <n v="9.5"/>
    <n v="10"/>
    <n v="12"/>
    <n v="6.5"/>
    <n v="2"/>
    <n v="53"/>
    <n v="6"/>
    <n v="8.8333333333333339"/>
    <n v="17.666666666666668"/>
    <n v="8.5"/>
    <n v="8"/>
    <n v="9"/>
    <n v="10"/>
    <n v="8"/>
    <n v="8"/>
    <n v="2"/>
    <n v="51.5"/>
    <n v="6"/>
    <n v="8.5833333333333339"/>
    <n v="17.166666666666668"/>
    <s v="▼ 0.25"/>
    <n v="8.625"/>
    <s v="▼ 0.04"/>
    <n v="6.5"/>
    <n v="10"/>
    <n v="10.5"/>
    <m/>
    <m/>
    <m/>
    <m/>
    <n v="2"/>
    <n v="27"/>
    <n v="3"/>
    <n v="9"/>
    <n v="18"/>
  </r>
  <r>
    <s v="IXT"/>
    <x v="0"/>
    <x v="1"/>
    <x v="4"/>
    <x v="0"/>
    <n v="47"/>
    <n v="43"/>
    <n v="60"/>
    <n v="75"/>
    <n v="6"/>
    <n v="80"/>
    <n v="47"/>
    <n v="6"/>
    <n v="82"/>
    <n v="67"/>
    <n v="6"/>
    <n v="5"/>
    <n v="423"/>
    <n v="6"/>
    <n v="70.5"/>
    <n v="141"/>
    <n v="56"/>
    <n v="57"/>
    <n v="5"/>
    <n v="54"/>
    <n v="50"/>
    <n v="60"/>
    <n v="55"/>
    <n v="36"/>
    <n v="5"/>
    <n v="373"/>
    <n v="7"/>
    <n v="53.285714285714285"/>
    <n v="106.57142857142857"/>
    <n v="5"/>
    <n v="869"/>
    <n v="15"/>
    <n v="57.93333333333333"/>
    <n v="115.86666666666666"/>
    <n v="57"/>
    <n v="65"/>
    <n v="63"/>
    <n v="60"/>
    <n v="62"/>
    <n v="67"/>
    <n v="5"/>
    <n v="374"/>
    <n v="6"/>
    <n v="62.333333333333336"/>
    <n v="124.66666666666667"/>
    <n v="64"/>
    <n v="71"/>
    <n v="66"/>
    <n v="70"/>
    <n v="60"/>
    <n v="60"/>
    <n v="5"/>
    <n v="391"/>
    <n v="6"/>
    <n v="65.166666666666671"/>
    <n v="130.33333333333334"/>
    <s v="▲ 2.83"/>
    <n v="61.25"/>
    <s v="▲ 3.92"/>
    <n v="66"/>
    <n v="56"/>
    <n v="60"/>
    <m/>
    <m/>
    <m/>
    <m/>
    <n v="4"/>
    <n v="182"/>
    <n v="3"/>
    <n v="60.666666666666664"/>
    <n v="121.33333333333333"/>
  </r>
  <r>
    <s v="IXT"/>
    <x v="0"/>
    <x v="1"/>
    <x v="5"/>
    <x v="0"/>
    <n v="42"/>
    <n v="38"/>
    <n v="44"/>
    <n v="51"/>
    <n v="6"/>
    <n v="49"/>
    <n v="48"/>
    <n v="6"/>
    <n v="35"/>
    <n v="50"/>
    <n v="6"/>
    <n v="7"/>
    <n v="289"/>
    <n v="6"/>
    <n v="48.166666666666664"/>
    <n v="96.333333333333329"/>
    <n v="58"/>
    <n v="55"/>
    <n v="7"/>
    <n v="58"/>
    <n v="50"/>
    <n v="52"/>
    <n v="53"/>
    <n v="65"/>
    <n v="7"/>
    <n v="398"/>
    <n v="7"/>
    <n v="56.857142857142854"/>
    <n v="113.71428571428571"/>
    <n v="7"/>
    <n v="748"/>
    <n v="15"/>
    <n v="49.866666666666667"/>
    <n v="99.733333333333334"/>
    <n v="63"/>
    <n v="58"/>
    <n v="64"/>
    <n v="68"/>
    <n v="62"/>
    <n v="66"/>
    <n v="7"/>
    <n v="381"/>
    <n v="6"/>
    <n v="63.5"/>
    <n v="127"/>
    <n v="63"/>
    <n v="65"/>
    <n v="64"/>
    <n v="67"/>
    <n v="71"/>
    <n v="67"/>
    <n v="7"/>
    <n v="397"/>
    <n v="6"/>
    <n v="66.166666666666671"/>
    <n v="132.33333333333334"/>
    <s v="▲ 2.67"/>
    <n v="63.25"/>
    <s v="▲ 2.92"/>
    <n v="74"/>
    <n v="69"/>
    <n v="71"/>
    <m/>
    <m/>
    <m/>
    <m/>
    <n v="7"/>
    <n v="214"/>
    <n v="3"/>
    <n v="71.333333333333329"/>
    <n v="142.66666666666666"/>
  </r>
  <r>
    <s v="IXT"/>
    <x v="0"/>
    <x v="1"/>
    <x v="6"/>
    <x v="0"/>
    <n v="17"/>
    <n v="18"/>
    <n v="15"/>
    <n v="17"/>
    <n v="2"/>
    <n v="18"/>
    <n v="18"/>
    <n v="2"/>
    <n v="17"/>
    <n v="26"/>
    <n v="2"/>
    <n v="2"/>
    <n v="115"/>
    <n v="6"/>
    <n v="19.166666666666668"/>
    <n v="38.333333333333336"/>
    <n v="18"/>
    <n v="15"/>
    <n v="2"/>
    <n v="10"/>
    <n v="7"/>
    <n v="13"/>
    <n v="8"/>
    <n v="12"/>
    <n v="2"/>
    <n v="85"/>
    <n v="7"/>
    <n v="12.142857142857142"/>
    <n v="24.285714285714285"/>
    <n v="2"/>
    <n v="229"/>
    <n v="15"/>
    <n v="15.266666666666667"/>
    <n v="30.533333333333335"/>
    <n v="6"/>
    <n v="9"/>
    <n v="4"/>
    <n v="4"/>
    <n v="22"/>
    <n v="20"/>
    <n v="2"/>
    <n v="65"/>
    <n v="6"/>
    <n v="10.833333333333334"/>
    <n v="21.666666666666668"/>
    <n v="23"/>
    <n v="25"/>
    <n v="11"/>
    <n v="21"/>
    <n v="19"/>
    <n v="21"/>
    <n v="2"/>
    <n v="120"/>
    <n v="6"/>
    <n v="20"/>
    <n v="40"/>
    <s v="▲ 9.17"/>
    <n v="5.75"/>
    <s v="▲ 14.25"/>
    <n v="22"/>
    <n v="18"/>
    <n v="20"/>
    <m/>
    <m/>
    <m/>
    <m/>
    <n v="2"/>
    <n v="60"/>
    <n v="3"/>
    <n v="20"/>
    <n v="40"/>
  </r>
  <r>
    <s v="IXT"/>
    <x v="0"/>
    <x v="0"/>
    <x v="7"/>
    <x v="0"/>
    <n v="27"/>
    <n v="30"/>
    <n v="21"/>
    <n v="63"/>
    <n v="7"/>
    <n v="24"/>
    <n v="55"/>
    <n v="7"/>
    <n v="35"/>
    <n v="57"/>
    <n v="7"/>
    <n v="8"/>
    <n v="269"/>
    <n v="6"/>
    <n v="44.833333333333336"/>
    <n v="89.666666666666671"/>
    <n v="67"/>
    <n v="66"/>
    <n v="8"/>
    <n v="63"/>
    <n v="78"/>
    <n v="60"/>
    <n v="39"/>
    <n v="41"/>
    <n v="8"/>
    <n v="422"/>
    <n v="7"/>
    <n v="60.285714285714285"/>
    <n v="120.57142857142857"/>
    <n v="8"/>
    <n v="726"/>
    <n v="15"/>
    <n v="48.4"/>
    <n v="96.8"/>
    <n v="30"/>
    <n v="58"/>
    <n v="68"/>
    <n v="81"/>
    <n v="59"/>
    <n v="61"/>
    <n v="8"/>
    <n v="357"/>
    <n v="6"/>
    <n v="59.5"/>
    <n v="119"/>
    <n v="58"/>
    <n v="41"/>
    <n v="51"/>
    <n v="41"/>
    <n v="39"/>
    <n v="49"/>
    <n v="8"/>
    <n v="279"/>
    <n v="6"/>
    <n v="46.5"/>
    <n v="93"/>
    <s v="▼ 13.00"/>
    <n v="59.25"/>
    <s v="▼ 12.75"/>
    <n v="41"/>
    <n v="47"/>
    <n v="39"/>
    <m/>
    <m/>
    <m/>
    <m/>
    <n v="8"/>
    <n v="127"/>
    <n v="3"/>
    <n v="42.333333333333336"/>
    <n v="84.666666666666671"/>
  </r>
  <r>
    <s v="IXT"/>
    <x v="0"/>
    <x v="0"/>
    <x v="8"/>
    <x v="1"/>
    <n v="55"/>
    <n v="50"/>
    <n v="51"/>
    <n v="43"/>
    <n v="8"/>
    <n v="45"/>
    <n v="44"/>
    <n v="8"/>
    <n v="28"/>
    <n v="38"/>
    <n v="6.5"/>
    <n v="6.5"/>
    <n v="265"/>
    <n v="6"/>
    <n v="44.166666666666664"/>
    <n v="88.333333333333329"/>
    <n v="45"/>
    <n v="52"/>
    <n v="6.5"/>
    <n v="59"/>
    <n v="55"/>
    <n v="51"/>
    <n v="50"/>
    <n v="45"/>
    <n v="6.5"/>
    <n v="363.5"/>
    <n v="7"/>
    <n v="51.928571428571431"/>
    <n v="103.85714285714286"/>
    <n v="6.5"/>
    <n v="711"/>
    <n v="15"/>
    <n v="47.4"/>
    <n v="94.8"/>
    <n v="0"/>
    <n v="0"/>
    <n v="0"/>
    <n v="0"/>
    <n v="0"/>
    <n v="0"/>
    <n v="0"/>
    <n v="0"/>
    <n v="6"/>
    <n v="0"/>
    <n v="0"/>
    <m/>
    <m/>
    <m/>
    <m/>
    <m/>
    <m/>
    <m/>
    <m/>
    <m/>
    <m/>
    <m/>
    <s v=""/>
    <n v="0"/>
    <s v=""/>
    <m/>
    <m/>
    <m/>
    <m/>
    <m/>
    <m/>
    <m/>
    <m/>
    <m/>
    <m/>
    <m/>
    <m/>
  </r>
  <r>
    <s v="IXT"/>
    <x v="0"/>
    <x v="0"/>
    <x v="9"/>
    <x v="0"/>
    <n v="27"/>
    <n v="39"/>
    <n v="58"/>
    <n v="43"/>
    <n v="7.5"/>
    <n v="45"/>
    <n v="47"/>
    <n v="7.5"/>
    <n v="28"/>
    <n v="22"/>
    <n v="4.5"/>
    <n v="4.5"/>
    <n v="258"/>
    <n v="6"/>
    <n v="43"/>
    <n v="86"/>
    <n v="28"/>
    <n v="32"/>
    <n v="4.5"/>
    <n v="39"/>
    <n v="47"/>
    <n v="33"/>
    <n v="27"/>
    <n v="29"/>
    <n v="4.5"/>
    <n v="239.5"/>
    <n v="7"/>
    <n v="34.214285714285715"/>
    <n v="68.428571428571431"/>
    <n v="4.5"/>
    <n v="544"/>
    <n v="15"/>
    <n v="36.266666666666666"/>
    <n v="72.533333333333331"/>
    <n v="27"/>
    <n v="62"/>
    <n v="66"/>
    <n v="57"/>
    <n v="79"/>
    <n v="75"/>
    <n v="8"/>
    <n v="366"/>
    <n v="6"/>
    <n v="61"/>
    <n v="122"/>
    <n v="59"/>
    <n v="66"/>
    <n v="70"/>
    <n v="75"/>
    <n v="51"/>
    <n v="38"/>
    <n v="8"/>
    <n v="359"/>
    <n v="6"/>
    <n v="59.833333333333336"/>
    <n v="119.66666666666667"/>
    <s v="▼ 1.17"/>
    <n v="53"/>
    <s v="▲ 6.83"/>
    <n v="42"/>
    <n v="43"/>
    <n v="44"/>
    <m/>
    <m/>
    <m/>
    <m/>
    <n v="8"/>
    <n v="129"/>
    <n v="3"/>
    <n v="43"/>
    <n v="86"/>
  </r>
  <r>
    <s v="IXT"/>
    <x v="0"/>
    <x v="0"/>
    <x v="10"/>
    <x v="0"/>
    <n v="11"/>
    <n v="41"/>
    <n v="20"/>
    <n v="16"/>
    <n v="6.5"/>
    <n v="42"/>
    <n v="22"/>
    <n v="6.5"/>
    <n v="29"/>
    <n v="36"/>
    <n v="6.5"/>
    <n v="6.5"/>
    <n v="178"/>
    <n v="6"/>
    <n v="29.666666666666668"/>
    <n v="59.333333333333336"/>
    <n v="46"/>
    <n v="41"/>
    <n v="6.5"/>
    <n v="20"/>
    <n v="46"/>
    <n v="37"/>
    <n v="42"/>
    <n v="26"/>
    <n v="6.5"/>
    <n v="264.5"/>
    <n v="7"/>
    <n v="37.785714285714285"/>
    <n v="75.571428571428569"/>
    <n v="6.5"/>
    <n v="475"/>
    <n v="15"/>
    <n v="31.666666666666668"/>
    <n v="63.333333333333336"/>
    <n v="45"/>
    <n v="49"/>
    <n v="44"/>
    <n v="55"/>
    <n v="41"/>
    <n v="47"/>
    <n v="6.5"/>
    <n v="281"/>
    <n v="6"/>
    <n v="46.833333333333336"/>
    <n v="93.666666666666671"/>
    <n v="38"/>
    <n v="38"/>
    <n v="37"/>
    <n v="59"/>
    <n v="49"/>
    <n v="54"/>
    <n v="6.5"/>
    <n v="275"/>
    <n v="6"/>
    <n v="45.833333333333336"/>
    <n v="91.666666666666671"/>
    <s v="▼ 1.00"/>
    <n v="48.25"/>
    <s v="▼ 2.42"/>
    <n v="64"/>
    <n v="99"/>
    <n v="96"/>
    <m/>
    <m/>
    <m/>
    <m/>
    <n v="11"/>
    <n v="259"/>
    <n v="3"/>
    <n v="86.333333333333329"/>
    <n v="172.66666666666666"/>
  </r>
  <r>
    <s v="IXT"/>
    <x v="0"/>
    <x v="0"/>
    <x v="11"/>
    <x v="0"/>
    <n v="24"/>
    <n v="67"/>
    <n v="40"/>
    <n v="14"/>
    <n v="7.5"/>
    <n v="25"/>
    <n v="25"/>
    <n v="7.5"/>
    <n v="32"/>
    <n v="35"/>
    <n v="7.5"/>
    <n v="7.5"/>
    <n v="186"/>
    <n v="6"/>
    <n v="31"/>
    <n v="62"/>
    <n v="39"/>
    <n v="21"/>
    <n v="7.5"/>
    <n v="29"/>
    <n v="38"/>
    <n v="32"/>
    <n v="34"/>
    <n v="29"/>
    <n v="7.5"/>
    <n v="229.5"/>
    <n v="7"/>
    <n v="32.785714285714285"/>
    <n v="65.571428571428569"/>
    <n v="7.5"/>
    <n v="484"/>
    <n v="15"/>
    <n v="32.266666666666666"/>
    <n v="64.533333333333331"/>
    <n v="46"/>
    <n v="37"/>
    <n v="36"/>
    <n v="47"/>
    <n v="26"/>
    <n v="47"/>
    <n v="7.5"/>
    <n v="239"/>
    <n v="6"/>
    <n v="39.833333333333336"/>
    <n v="79.666666666666671"/>
    <n v="41"/>
    <n v="36.5"/>
    <n v="29"/>
    <n v="51"/>
    <n v="55"/>
    <n v="46"/>
    <n v="6"/>
    <n v="258.5"/>
    <n v="6"/>
    <n v="43.083333333333336"/>
    <n v="86.166666666666671"/>
    <s v="▲ 3.25"/>
    <n v="41.5"/>
    <s v="▲ 1.58"/>
    <m/>
    <m/>
    <m/>
    <m/>
    <m/>
    <m/>
    <m/>
    <n v="6"/>
    <n v="0"/>
    <n v="3"/>
    <n v="0"/>
    <n v="0"/>
  </r>
  <r>
    <s v="IXT"/>
    <x v="1"/>
    <x v="2"/>
    <x v="12"/>
    <x v="0"/>
    <n v="82"/>
    <n v="58"/>
    <n v="69"/>
    <n v="66"/>
    <n v="8.5"/>
    <n v="76"/>
    <n v="70"/>
    <n v="8.5"/>
    <n v="70"/>
    <n v="92"/>
    <n v="8.5"/>
    <n v="8.5"/>
    <n v="460"/>
    <n v="6"/>
    <n v="76.666666666666671"/>
    <n v="153.33333333333334"/>
    <n v="50"/>
    <n v="78"/>
    <n v="8.5"/>
    <n v="56"/>
    <n v="63"/>
    <n v="68"/>
    <n v="59"/>
    <n v="54"/>
    <n v="8.5"/>
    <n v="436.5"/>
    <n v="7"/>
    <n v="62.357142857142854"/>
    <n v="124.71428571428571"/>
    <n v="8.5"/>
    <n v="1011"/>
    <n v="15"/>
    <n v="67.400000000000006"/>
    <n v="134.80000000000001"/>
    <n v="63"/>
    <n v="43"/>
    <n v="72"/>
    <n v="63"/>
    <n v="51"/>
    <n v="42"/>
    <n v="8.5"/>
    <n v="334"/>
    <n v="6"/>
    <n v="55.666666666666664"/>
    <n v="111.33333333333333"/>
    <n v="39"/>
    <n v="48"/>
    <n v="37"/>
    <n v="67"/>
    <n v="30"/>
    <n v="44"/>
    <n v="5"/>
    <n v="265"/>
    <n v="6"/>
    <n v="44.166666666666664"/>
    <n v="88.333333333333329"/>
    <s v="▼ 11.50"/>
    <n v="60.25"/>
    <s v="▼ 16.08"/>
    <n v="35"/>
    <n v="55"/>
    <n v="65"/>
    <m/>
    <m/>
    <m/>
    <m/>
    <n v="6.5"/>
    <n v="155"/>
    <n v="3"/>
    <n v="51.666666666666664"/>
    <n v="103.33333333333333"/>
  </r>
  <r>
    <s v="IXT"/>
    <x v="1"/>
    <x v="2"/>
    <x v="13"/>
    <x v="0"/>
    <m/>
    <m/>
    <m/>
    <n v="23"/>
    <n v="3.5"/>
    <n v="17"/>
    <n v="20"/>
    <n v="3.5"/>
    <n v="14"/>
    <n v="20"/>
    <n v="3.5"/>
    <n v="3.5"/>
    <n v="101"/>
    <n v="5"/>
    <n v="20.2"/>
    <n v="40.4"/>
    <n v="27"/>
    <n v="20"/>
    <n v="3.5"/>
    <n v="10"/>
    <n v="16"/>
    <n v="18"/>
    <n v="10"/>
    <n v="24"/>
    <n v="3.5"/>
    <n v="128.5"/>
    <n v="7"/>
    <n v="18.357142857142858"/>
    <n v="36.714285714285715"/>
    <n v="3.5"/>
    <n v="219"/>
    <n v="12"/>
    <n v="18.25"/>
    <n v="36.5"/>
    <n v="6"/>
    <n v="16"/>
    <n v="16"/>
    <n v="21"/>
    <n v="22"/>
    <n v="17"/>
    <n v="3.5"/>
    <n v="98"/>
    <n v="6"/>
    <n v="16.333333333333332"/>
    <n v="32.666666666666664"/>
    <n v="23"/>
    <n v="21"/>
    <n v="16"/>
    <n v="24"/>
    <n v="17"/>
    <n v="27"/>
    <n v="2.5"/>
    <n v="128"/>
    <n v="6"/>
    <n v="21.333333333333332"/>
    <n v="42.666666666666664"/>
    <s v="▲ 5.00"/>
    <n v="14.75"/>
    <s v="▲ 6.58"/>
    <n v="25"/>
    <n v="39"/>
    <n v="38"/>
    <m/>
    <m/>
    <m/>
    <m/>
    <n v="4.5"/>
    <n v="102"/>
    <n v="3"/>
    <n v="34"/>
    <n v="68"/>
  </r>
  <r>
    <s v="IXT"/>
    <x v="1"/>
    <x v="2"/>
    <x v="14"/>
    <x v="0"/>
    <n v="17"/>
    <n v="21.5"/>
    <n v="15.5"/>
    <n v="19"/>
    <n v="2"/>
    <n v="17"/>
    <n v="16.5"/>
    <n v="2"/>
    <n v="14"/>
    <n v="19"/>
    <n v="2"/>
    <n v="2"/>
    <n v="105"/>
    <n v="6"/>
    <n v="17.5"/>
    <n v="35"/>
    <n v="14"/>
    <n v="21.5"/>
    <n v="2"/>
    <n v="15.5"/>
    <n v="18"/>
    <n v="27.3"/>
    <n v="18"/>
    <n v="7.5"/>
    <n v="2"/>
    <n v="123.8"/>
    <n v="7"/>
    <n v="17.685714285714287"/>
    <n v="35.371428571428574"/>
    <n v="2"/>
    <n v="261.3"/>
    <n v="15"/>
    <n v="17.420000000000002"/>
    <n v="34.840000000000003"/>
    <n v="20"/>
    <n v="14"/>
    <n v="17.5"/>
    <n v="11.5"/>
    <n v="16.5"/>
    <n v="9"/>
    <n v="2"/>
    <n v="88.5"/>
    <n v="6"/>
    <n v="14.75"/>
    <n v="29.5"/>
    <n v="17"/>
    <n v="12"/>
    <n v="11"/>
    <n v="9"/>
    <n v="11"/>
    <n v="10.5"/>
    <n v="2"/>
    <n v="70.5"/>
    <n v="6"/>
    <n v="11.75"/>
    <n v="23.5"/>
    <s v="▼ 3.00"/>
    <n v="15.75"/>
    <s v="▼ 4.00"/>
    <n v="11"/>
    <m/>
    <m/>
    <m/>
    <m/>
    <m/>
    <m/>
    <n v="2"/>
    <n v="11"/>
    <n v="1"/>
    <n v="11"/>
    <n v="22"/>
  </r>
  <r>
    <s v="IXT"/>
    <x v="1"/>
    <x v="2"/>
    <x v="15"/>
    <x v="0"/>
    <n v="93"/>
    <n v="88"/>
    <n v="85"/>
    <n v="91"/>
    <n v="10"/>
    <n v="92"/>
    <n v="79"/>
    <n v="10"/>
    <n v="78"/>
    <n v="88"/>
    <n v="10"/>
    <n v="10"/>
    <n v="533"/>
    <n v="6"/>
    <n v="88.833333333333329"/>
    <n v="177.66666666666666"/>
    <n v="62"/>
    <n v="72"/>
    <n v="10"/>
    <n v="91"/>
    <n v="88"/>
    <n v="90"/>
    <n v="89"/>
    <n v="76"/>
    <n v="10"/>
    <n v="578"/>
    <n v="7"/>
    <n v="82.571428571428569"/>
    <n v="165.14285714285714"/>
    <n v="10"/>
    <n v="1262"/>
    <n v="15"/>
    <n v="84.13333333333334"/>
    <n v="168.26666666666668"/>
    <n v="66"/>
    <n v="79"/>
    <n v="44"/>
    <n v="44"/>
    <n v="41"/>
    <m/>
    <n v="10"/>
    <n v="274"/>
    <n v="6"/>
    <n v="45.666666666666664"/>
    <n v="91.333333333333329"/>
    <n v="4"/>
    <n v="28"/>
    <n v="29"/>
    <m/>
    <m/>
    <m/>
    <n v="4.5"/>
    <n v="61"/>
    <n v="3"/>
    <n v="20.333333333333332"/>
    <n v="40.666666666666664"/>
    <s v="▼ 25.33"/>
    <n v="58.25"/>
    <s v="▼ 37.92"/>
    <m/>
    <m/>
    <m/>
    <m/>
    <m/>
    <m/>
    <m/>
    <n v="4.5"/>
    <n v="0"/>
    <n v="3"/>
    <n v="0"/>
    <n v="0"/>
  </r>
  <r>
    <s v="IXT"/>
    <x v="2"/>
    <x v="3"/>
    <x v="16"/>
    <x v="0"/>
    <n v="48"/>
    <n v="36"/>
    <n v="28"/>
    <n v="40"/>
    <n v="11"/>
    <n v="52"/>
    <n v="57"/>
    <n v="11"/>
    <n v="43"/>
    <n v="56"/>
    <n v="11"/>
    <n v="10"/>
    <n v="298"/>
    <n v="6"/>
    <n v="49.666666666666664"/>
    <n v="99.333333333333329"/>
    <n v="52"/>
    <n v="55"/>
    <n v="10"/>
    <n v="54"/>
    <n v="52"/>
    <n v="59"/>
    <n v="59"/>
    <n v="54"/>
    <n v="10"/>
    <n v="395"/>
    <n v="7"/>
    <n v="56.428571428571431"/>
    <n v="112.85714285714286"/>
    <n v="10"/>
    <n v="745"/>
    <n v="15"/>
    <n v="49.666666666666664"/>
    <n v="99.333333333333329"/>
    <n v="49"/>
    <n v="56"/>
    <n v="59"/>
    <n v="75"/>
    <n v="66"/>
    <n v="72"/>
    <n v="10"/>
    <n v="377"/>
    <n v="6"/>
    <n v="62.833333333333336"/>
    <n v="125.66666666666667"/>
    <n v="64"/>
    <n v="67"/>
    <n v="58"/>
    <n v="59"/>
    <n v="52"/>
    <n v="52"/>
    <n v="10"/>
    <n v="352"/>
    <n v="6"/>
    <n v="58.666666666666664"/>
    <n v="117.33333333333333"/>
    <s v="▼ 4.17"/>
    <n v="59.75"/>
    <s v="▼ 1.08"/>
    <n v="53"/>
    <n v="60"/>
    <n v="54"/>
    <m/>
    <m/>
    <m/>
    <m/>
    <n v="10"/>
    <n v="167"/>
    <n v="3"/>
    <n v="55.666666666666664"/>
    <n v="111.33333333333333"/>
  </r>
  <r>
    <s v="IXT"/>
    <x v="2"/>
    <x v="3"/>
    <x v="17"/>
    <x v="0"/>
    <n v="49"/>
    <n v="73"/>
    <n v="69"/>
    <n v="76"/>
    <n v="11"/>
    <n v="83"/>
    <n v="70"/>
    <n v="11"/>
    <n v="63"/>
    <n v="74"/>
    <n v="11"/>
    <n v="11"/>
    <n v="457"/>
    <n v="6"/>
    <n v="76.166666666666671"/>
    <n v="152.33333333333334"/>
    <n v="66"/>
    <n v="76"/>
    <n v="11"/>
    <n v="72"/>
    <n v="70"/>
    <n v="67"/>
    <n v="67"/>
    <n v="52"/>
    <n v="11"/>
    <n v="481"/>
    <n v="7"/>
    <n v="68.714285714285708"/>
    <n v="137.42857142857142"/>
    <n v="11"/>
    <n v="1027"/>
    <n v="15"/>
    <n v="68.466666666666669"/>
    <n v="136.93333333333334"/>
    <n v="65"/>
    <n v="62"/>
    <n v="82"/>
    <n v="79"/>
    <n v="71"/>
    <n v="65"/>
    <n v="11"/>
    <n v="424"/>
    <n v="6"/>
    <n v="70.666666666666671"/>
    <n v="141.33333333333334"/>
    <n v="68"/>
    <n v="61"/>
    <n v="58"/>
    <n v="69"/>
    <n v="78"/>
    <n v="75"/>
    <n v="10"/>
    <n v="409"/>
    <n v="6"/>
    <n v="68.166666666666671"/>
    <n v="136.33333333333334"/>
    <s v="▼ 2.50"/>
    <n v="72"/>
    <s v="▼ 3.83"/>
    <n v="78"/>
    <n v="77"/>
    <n v="78"/>
    <m/>
    <m/>
    <m/>
    <m/>
    <n v="11"/>
    <n v="233"/>
    <n v="3"/>
    <n v="77.666666666666671"/>
    <n v="155.33333333333334"/>
  </r>
  <r>
    <s v="IXT"/>
    <x v="2"/>
    <x v="3"/>
    <x v="18"/>
    <x v="0"/>
    <n v="40"/>
    <n v="49"/>
    <n v="50"/>
    <n v="49"/>
    <n v="10"/>
    <n v="47"/>
    <n v="53"/>
    <n v="10"/>
    <n v="55"/>
    <n v="54"/>
    <n v="10"/>
    <n v="10"/>
    <n v="328"/>
    <n v="6"/>
    <n v="54.666666666666664"/>
    <n v="109.33333333333333"/>
    <n v="43"/>
    <n v="63"/>
    <n v="10"/>
    <n v="59"/>
    <n v="45"/>
    <n v="50"/>
    <n v="49"/>
    <n v="34"/>
    <n v="10"/>
    <n v="353"/>
    <n v="7"/>
    <n v="50.428571428571431"/>
    <n v="100.85714285714286"/>
    <n v="10"/>
    <n v="740"/>
    <n v="15"/>
    <n v="49.333333333333336"/>
    <n v="98.666666666666671"/>
    <n v="30"/>
    <n v="45"/>
    <n v="53"/>
    <n v="59"/>
    <n v="79"/>
    <n v="61"/>
    <n v="10"/>
    <n v="327"/>
    <n v="6"/>
    <n v="54.5"/>
    <n v="109"/>
    <n v="59"/>
    <n v="58.1"/>
    <n v="57"/>
    <n v="52"/>
    <n v="45"/>
    <n v="48"/>
    <n v="11"/>
    <n v="319.10000000000002"/>
    <n v="6"/>
    <n v="53.183333333333337"/>
    <n v="106.36666666666667"/>
    <s v="▼ 1.32"/>
    <n v="46.75"/>
    <s v="▲ 6.43"/>
    <n v="36"/>
    <n v="48"/>
    <n v="55"/>
    <m/>
    <m/>
    <m/>
    <m/>
    <n v="10"/>
    <n v="139"/>
    <n v="3"/>
    <n v="46.333333333333336"/>
    <n v="92.666666666666671"/>
  </r>
  <r>
    <s v="IXT"/>
    <x v="2"/>
    <x v="4"/>
    <x v="19"/>
    <x v="0"/>
    <n v="71"/>
    <n v="54"/>
    <n v="56"/>
    <n v="57"/>
    <n v="9"/>
    <n v="49"/>
    <n v="42"/>
    <n v="9"/>
    <n v="61"/>
    <n v="55"/>
    <n v="9"/>
    <n v="9"/>
    <n v="338"/>
    <n v="6"/>
    <n v="56.333333333333336"/>
    <n v="112.66666666666667"/>
    <n v="55"/>
    <n v="32"/>
    <n v="9"/>
    <n v="46"/>
    <n v="54"/>
    <n v="52"/>
    <n v="35"/>
    <n v="30"/>
    <n v="9"/>
    <n v="313"/>
    <n v="7"/>
    <n v="44.714285714285715"/>
    <n v="89.428571428571431"/>
    <n v="9"/>
    <n v="749"/>
    <n v="15"/>
    <n v="49.93333333333333"/>
    <n v="99.86666666666666"/>
    <n v="56"/>
    <n v="55"/>
    <n v="55"/>
    <n v="57"/>
    <n v="58"/>
    <n v="62"/>
    <n v="9"/>
    <n v="343"/>
    <n v="6"/>
    <n v="57.166666666666664"/>
    <n v="114.33333333333333"/>
    <n v="49"/>
    <n v="60"/>
    <n v="56"/>
    <n v="63"/>
    <n v="65"/>
    <n v="74"/>
    <n v="9"/>
    <n v="367"/>
    <n v="6"/>
    <n v="61.166666666666664"/>
    <n v="122.33333333333333"/>
    <s v="▲ 4.00"/>
    <n v="55.75"/>
    <s v="▲ 5.42"/>
    <n v="86"/>
    <n v="79"/>
    <m/>
    <m/>
    <m/>
    <m/>
    <m/>
    <n v="9"/>
    <n v="165"/>
    <n v="2"/>
    <n v="82.5"/>
    <n v="165"/>
  </r>
  <r>
    <s v="IXT"/>
    <x v="0"/>
    <x v="0"/>
    <x v="20"/>
    <x v="1"/>
    <m/>
    <m/>
    <m/>
    <m/>
    <m/>
    <n v="5"/>
    <n v="32"/>
    <n v="4"/>
    <n v="22"/>
    <n v="22"/>
    <n v="4"/>
    <n v="4"/>
    <n v="85"/>
    <n v="6"/>
    <n v="14.166666666666666"/>
    <n v="28.333333333333332"/>
    <n v="32"/>
    <n v="22"/>
    <n v="4"/>
    <n v="23"/>
    <n v="21"/>
    <n v="27"/>
    <n v="13"/>
    <n v="22"/>
    <n v="4"/>
    <n v="164"/>
    <n v="7"/>
    <n v="23.428571428571427"/>
    <n v="46.857142857142854"/>
    <n v="4"/>
    <n v="241"/>
    <n v="11"/>
    <n v="21.90909090909091"/>
    <n v="43.81818181818182"/>
    <n v="0"/>
    <n v="0"/>
    <n v="0"/>
    <n v="0"/>
    <n v="0"/>
    <n v="0"/>
    <n v="0"/>
    <n v="0"/>
    <n v="6"/>
    <n v="0"/>
    <n v="0"/>
    <m/>
    <m/>
    <m/>
    <m/>
    <m/>
    <m/>
    <m/>
    <m/>
    <m/>
    <m/>
    <m/>
    <s v=""/>
    <n v="0"/>
    <s v=""/>
    <m/>
    <m/>
    <m/>
    <m/>
    <m/>
    <m/>
    <m/>
    <m/>
    <m/>
    <m/>
    <m/>
    <m/>
  </r>
  <r>
    <s v="IXT"/>
    <x v="2"/>
    <x v="5"/>
    <x v="21"/>
    <x v="0"/>
    <m/>
    <m/>
    <m/>
    <m/>
    <m/>
    <m/>
    <m/>
    <m/>
    <m/>
    <m/>
    <m/>
    <n v="2"/>
    <n v="0"/>
    <n v="6"/>
    <n v="0"/>
    <n v="0"/>
    <n v="32"/>
    <n v="26"/>
    <n v="2"/>
    <n v="26"/>
    <n v="29"/>
    <n v="18"/>
    <n v="15"/>
    <n v="24"/>
    <n v="2"/>
    <n v="172"/>
    <n v="7"/>
    <n v="24.571428571428573"/>
    <n v="49.142857142857146"/>
    <n v="2"/>
    <n v="170"/>
    <n v="7"/>
    <n v="24.285714285714285"/>
    <n v="48.571428571428569"/>
    <n v="24"/>
    <n v="23"/>
    <n v="28"/>
    <n v="23"/>
    <n v="24"/>
    <n v="18"/>
    <n v="2"/>
    <n v="140"/>
    <n v="6"/>
    <n v="23.333333333333332"/>
    <n v="46.666666666666664"/>
    <n v="26"/>
    <n v="28"/>
    <n v="28"/>
    <n v="30"/>
    <n v="25"/>
    <n v="27"/>
    <n v="2"/>
    <n v="164"/>
    <n v="6"/>
    <n v="27.333333333333332"/>
    <n v="54.666666666666664"/>
    <s v="▲ 4.00"/>
    <n v="24.5"/>
    <s v="▲ 2.83"/>
    <n v="21"/>
    <n v="24"/>
    <n v="24"/>
    <m/>
    <m/>
    <m/>
    <m/>
    <n v="2"/>
    <n v="69"/>
    <n v="3"/>
    <n v="23"/>
    <n v="46"/>
  </r>
  <r>
    <s v="IXT"/>
    <x v="2"/>
    <x v="5"/>
    <x v="22"/>
    <x v="0"/>
    <m/>
    <m/>
    <m/>
    <m/>
    <m/>
    <m/>
    <m/>
    <m/>
    <m/>
    <m/>
    <m/>
    <n v="4"/>
    <n v="0"/>
    <n v="6"/>
    <n v="0"/>
    <n v="0"/>
    <n v="40"/>
    <n v="33"/>
    <n v="4"/>
    <n v="51"/>
    <n v="51"/>
    <n v="41"/>
    <n v="24"/>
    <n v="9"/>
    <n v="4"/>
    <n v="253"/>
    <n v="7"/>
    <n v="36.142857142857146"/>
    <n v="72.285714285714292"/>
    <n v="4"/>
    <n v="249"/>
    <n v="7"/>
    <n v="35.571428571428569"/>
    <n v="71.142857142857139"/>
    <n v="42"/>
    <n v="42"/>
    <n v="38"/>
    <n v="34"/>
    <n v="35"/>
    <n v="29"/>
    <n v="3"/>
    <n v="220"/>
    <n v="6"/>
    <n v="36.666666666666664"/>
    <n v="73.333333333333329"/>
    <n v="24"/>
    <n v="48"/>
    <n v="47"/>
    <n v="46"/>
    <n v="50"/>
    <n v="49"/>
    <n v="5"/>
    <n v="264"/>
    <n v="6"/>
    <n v="44"/>
    <n v="88"/>
    <s v="▲ 7.33"/>
    <n v="39"/>
    <s v="▲ 5.00"/>
    <n v="43"/>
    <n v="50"/>
    <n v="46"/>
    <m/>
    <m/>
    <m/>
    <m/>
    <n v="5"/>
    <n v="139"/>
    <n v="3"/>
    <n v="46.333333333333336"/>
    <n v="92.666666666666671"/>
  </r>
  <r>
    <s v="IXT"/>
    <x v="2"/>
    <x v="5"/>
    <x v="23"/>
    <x v="0"/>
    <m/>
    <m/>
    <m/>
    <m/>
    <m/>
    <m/>
    <m/>
    <m/>
    <m/>
    <m/>
    <m/>
    <n v="2"/>
    <n v="0"/>
    <n v="6"/>
    <n v="0"/>
    <n v="0"/>
    <n v="10"/>
    <n v="13"/>
    <n v="2"/>
    <n v="16"/>
    <n v="23"/>
    <n v="5"/>
    <n v="2"/>
    <n v="5"/>
    <n v="2"/>
    <n v="76"/>
    <n v="7"/>
    <n v="10.857142857142858"/>
    <n v="21.714285714285715"/>
    <n v="2"/>
    <n v="74"/>
    <n v="7"/>
    <n v="10.571428571428571"/>
    <n v="21.142857142857142"/>
    <s v="NA"/>
    <s v="NA"/>
    <s v="NA"/>
    <s v="NA"/>
    <n v="17"/>
    <n v="13"/>
    <n v="2"/>
    <n v="30"/>
    <n v="6"/>
    <n v="5"/>
    <n v="10"/>
    <n v="10"/>
    <m/>
    <m/>
    <m/>
    <m/>
    <m/>
    <n v="1"/>
    <n v="10"/>
    <n v="1"/>
    <n v="10"/>
    <n v="20"/>
    <s v="▲ 5.00"/>
    <n v="0"/>
    <s v="▲ 10.00"/>
    <m/>
    <m/>
    <m/>
    <m/>
    <m/>
    <m/>
    <m/>
    <m/>
    <m/>
    <m/>
    <m/>
    <m/>
  </r>
  <r>
    <s v="IXT"/>
    <x v="1"/>
    <x v="2"/>
    <x v="24"/>
    <x v="0"/>
    <m/>
    <m/>
    <m/>
    <m/>
    <m/>
    <m/>
    <m/>
    <m/>
    <m/>
    <m/>
    <m/>
    <m/>
    <m/>
    <m/>
    <m/>
    <m/>
    <m/>
    <m/>
    <m/>
    <m/>
    <m/>
    <m/>
    <m/>
    <m/>
    <m/>
    <m/>
    <m/>
    <m/>
    <m/>
    <m/>
    <m/>
    <m/>
    <m/>
    <m/>
    <m/>
    <m/>
    <m/>
    <m/>
    <m/>
    <m/>
    <m/>
    <n v="0"/>
    <n v="6"/>
    <n v="0"/>
    <n v="0"/>
    <n v="10"/>
    <n v="27"/>
    <n v="8"/>
    <n v="17"/>
    <n v="15"/>
    <n v="7"/>
    <n v="2"/>
    <n v="84"/>
    <n v="6"/>
    <n v="14"/>
    <n v="28"/>
    <s v="▲ 14.00"/>
    <n v="0"/>
    <s v="▲ 14.00"/>
    <n v="14"/>
    <m/>
    <m/>
    <m/>
    <m/>
    <m/>
    <m/>
    <n v="2"/>
    <n v="14"/>
    <n v="1"/>
    <n v="14"/>
    <n v="28"/>
  </r>
  <r>
    <s v="IXT"/>
    <x v="3"/>
    <x v="6"/>
    <x v="25"/>
    <x v="2"/>
    <m/>
    <m/>
    <m/>
    <m/>
    <m/>
    <m/>
    <m/>
    <m/>
    <m/>
    <m/>
    <m/>
    <m/>
    <m/>
    <m/>
    <m/>
    <m/>
    <m/>
    <m/>
    <m/>
    <m/>
    <m/>
    <m/>
    <m/>
    <m/>
    <m/>
    <m/>
    <m/>
    <m/>
    <m/>
    <m/>
    <m/>
    <m/>
    <m/>
    <m/>
    <m/>
    <m/>
    <m/>
    <m/>
    <m/>
    <m/>
    <m/>
    <n v="0"/>
    <n v="6"/>
    <n v="0"/>
    <n v="0"/>
    <m/>
    <m/>
    <m/>
    <m/>
    <m/>
    <m/>
    <m/>
    <m/>
    <m/>
    <m/>
    <m/>
    <s v=""/>
    <m/>
    <s v=""/>
    <m/>
    <m/>
    <m/>
    <m/>
    <m/>
    <m/>
    <m/>
    <m/>
    <m/>
    <m/>
    <m/>
    <m/>
  </r>
  <r>
    <s v="IXT"/>
    <x v="3"/>
    <x v="6"/>
    <x v="25"/>
    <x v="2"/>
    <m/>
    <m/>
    <m/>
    <m/>
    <m/>
    <m/>
    <m/>
    <m/>
    <m/>
    <m/>
    <m/>
    <m/>
    <m/>
    <m/>
    <m/>
    <m/>
    <m/>
    <m/>
    <m/>
    <m/>
    <m/>
    <m/>
    <m/>
    <m/>
    <m/>
    <m/>
    <m/>
    <m/>
    <m/>
    <m/>
    <m/>
    <m/>
    <m/>
    <m/>
    <m/>
    <m/>
    <m/>
    <m/>
    <m/>
    <m/>
    <m/>
    <n v="0"/>
    <n v="6"/>
    <n v="0"/>
    <n v="0"/>
    <m/>
    <m/>
    <m/>
    <m/>
    <m/>
    <m/>
    <m/>
    <m/>
    <m/>
    <m/>
    <m/>
    <s v=""/>
    <m/>
    <s v=""/>
    <m/>
    <m/>
    <m/>
    <m/>
    <m/>
    <m/>
    <m/>
    <m/>
    <m/>
    <m/>
    <m/>
    <m/>
  </r>
  <r>
    <s v="IXT"/>
    <x v="3"/>
    <x v="6"/>
    <x v="25"/>
    <x v="2"/>
    <m/>
    <m/>
    <m/>
    <m/>
    <m/>
    <m/>
    <m/>
    <m/>
    <m/>
    <m/>
    <m/>
    <m/>
    <m/>
    <m/>
    <m/>
    <m/>
    <m/>
    <m/>
    <m/>
    <m/>
    <m/>
    <m/>
    <m/>
    <m/>
    <m/>
    <m/>
    <m/>
    <m/>
    <m/>
    <m/>
    <m/>
    <m/>
    <m/>
    <m/>
    <m/>
    <m/>
    <m/>
    <m/>
    <m/>
    <m/>
    <m/>
    <n v="0"/>
    <n v="6"/>
    <n v="0"/>
    <n v="0"/>
    <m/>
    <m/>
    <m/>
    <m/>
    <m/>
    <m/>
    <m/>
    <m/>
    <m/>
    <m/>
    <m/>
    <s v=""/>
    <m/>
    <s v=""/>
    <m/>
    <m/>
    <m/>
    <m/>
    <m/>
    <m/>
    <m/>
    <m/>
    <m/>
    <m/>
    <m/>
    <m/>
  </r>
  <r>
    <s v="IXT"/>
    <x v="3"/>
    <x v="6"/>
    <x v="25"/>
    <x v="2"/>
    <m/>
    <m/>
    <m/>
    <m/>
    <m/>
    <m/>
    <m/>
    <m/>
    <m/>
    <m/>
    <m/>
    <m/>
    <m/>
    <m/>
    <m/>
    <m/>
    <m/>
    <m/>
    <m/>
    <m/>
    <m/>
    <m/>
    <m/>
    <m/>
    <m/>
    <m/>
    <m/>
    <m/>
    <m/>
    <m/>
    <m/>
    <m/>
    <m/>
    <m/>
    <m/>
    <m/>
    <m/>
    <m/>
    <m/>
    <m/>
    <m/>
    <n v="0"/>
    <n v="6"/>
    <n v="0"/>
    <n v="0"/>
    <m/>
    <m/>
    <m/>
    <m/>
    <m/>
    <m/>
    <m/>
    <m/>
    <m/>
    <m/>
    <m/>
    <s v=""/>
    <m/>
    <s v=""/>
    <m/>
    <m/>
    <m/>
    <m/>
    <m/>
    <m/>
    <m/>
    <m/>
    <m/>
    <m/>
    <m/>
    <m/>
  </r>
  <r>
    <m/>
    <x v="3"/>
    <x v="6"/>
    <x v="25"/>
    <x v="2"/>
    <m/>
    <m/>
    <m/>
    <m/>
    <m/>
    <m/>
    <m/>
    <m/>
    <m/>
    <m/>
    <m/>
    <m/>
    <m/>
    <m/>
    <m/>
    <m/>
    <m/>
    <m/>
    <m/>
    <m/>
    <m/>
    <m/>
    <m/>
    <m/>
    <m/>
    <m/>
    <m/>
    <m/>
    <m/>
    <m/>
    <m/>
    <m/>
    <m/>
    <m/>
    <m/>
    <m/>
    <m/>
    <m/>
    <m/>
    <m/>
    <m/>
    <n v="0"/>
    <n v="6"/>
    <n v="0"/>
    <n v="0"/>
    <m/>
    <m/>
    <m/>
    <m/>
    <m/>
    <m/>
    <m/>
    <m/>
    <m/>
    <m/>
    <m/>
    <s v=""/>
    <m/>
    <s v=""/>
    <m/>
    <m/>
    <m/>
    <m/>
    <m/>
    <m/>
    <m/>
    <m/>
    <m/>
    <m/>
    <m/>
    <m/>
  </r>
  <r>
    <m/>
    <x v="3"/>
    <x v="6"/>
    <x v="25"/>
    <x v="2"/>
    <m/>
    <m/>
    <m/>
    <m/>
    <m/>
    <m/>
    <m/>
    <m/>
    <m/>
    <m/>
    <m/>
    <m/>
    <m/>
    <m/>
    <m/>
    <m/>
    <m/>
    <m/>
    <m/>
    <m/>
    <m/>
    <m/>
    <m/>
    <m/>
    <m/>
    <m/>
    <m/>
    <m/>
    <m/>
    <m/>
    <m/>
    <m/>
    <m/>
    <m/>
    <m/>
    <m/>
    <m/>
    <m/>
    <m/>
    <m/>
    <m/>
    <m/>
    <m/>
    <m/>
    <m/>
    <m/>
    <m/>
    <m/>
    <m/>
    <m/>
    <m/>
    <m/>
    <m/>
    <m/>
    <m/>
    <m/>
    <s v=""/>
    <m/>
    <s v=""/>
    <m/>
    <m/>
    <m/>
    <m/>
    <m/>
    <m/>
    <m/>
    <m/>
    <m/>
    <m/>
    <m/>
    <m/>
  </r>
  <r>
    <m/>
    <x v="3"/>
    <x v="6"/>
    <x v="25"/>
    <x v="2"/>
    <m/>
    <m/>
    <m/>
    <m/>
    <m/>
    <m/>
    <m/>
    <m/>
    <m/>
    <m/>
    <m/>
    <m/>
    <m/>
    <m/>
    <m/>
    <m/>
    <m/>
    <m/>
    <m/>
    <m/>
    <m/>
    <m/>
    <m/>
    <m/>
    <m/>
    <m/>
    <m/>
    <m/>
    <m/>
    <m/>
    <m/>
    <m/>
    <m/>
    <m/>
    <m/>
    <m/>
    <m/>
    <m/>
    <m/>
    <m/>
    <m/>
    <m/>
    <m/>
    <m/>
    <m/>
    <m/>
    <m/>
    <m/>
    <m/>
    <m/>
    <m/>
    <m/>
    <m/>
    <m/>
    <m/>
    <m/>
    <s v=""/>
    <m/>
    <s v=""/>
    <m/>
    <m/>
    <m/>
    <m/>
    <m/>
    <m/>
    <m/>
    <m/>
    <m/>
    <m/>
    <m/>
    <m/>
  </r>
  <r>
    <m/>
    <x v="3"/>
    <x v="6"/>
    <x v="25"/>
    <x v="2"/>
    <m/>
    <m/>
    <m/>
    <m/>
    <m/>
    <m/>
    <m/>
    <m/>
    <m/>
    <m/>
    <m/>
    <m/>
    <m/>
    <m/>
    <m/>
    <m/>
    <m/>
    <m/>
    <m/>
    <m/>
    <m/>
    <m/>
    <m/>
    <m/>
    <m/>
    <m/>
    <m/>
    <m/>
    <m/>
    <m/>
    <m/>
    <m/>
    <m/>
    <m/>
    <m/>
    <m/>
    <m/>
    <m/>
    <m/>
    <m/>
    <m/>
    <m/>
    <m/>
    <m/>
    <m/>
    <m/>
    <m/>
    <m/>
    <m/>
    <m/>
    <m/>
    <m/>
    <m/>
    <m/>
    <m/>
    <m/>
    <m/>
    <m/>
    <m/>
    <m/>
    <m/>
    <m/>
    <m/>
    <m/>
    <m/>
    <m/>
    <m/>
    <m/>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
  <r>
    <n v="1"/>
    <s v="IXT"/>
    <x v="0"/>
    <x v="0"/>
    <x v="0"/>
    <x v="0"/>
    <m/>
    <m/>
    <m/>
    <m/>
    <m/>
    <m/>
    <m/>
    <m/>
    <m/>
    <m/>
    <m/>
    <m/>
    <n v="4.666666666666667"/>
    <n v="3.6666666666666665"/>
    <n v="6.5"/>
    <n v="4.9444444444444446"/>
    <m/>
    <n v="4.9444444444444446"/>
    <n v="3.25"/>
    <n v="6.75"/>
    <n v="8.25"/>
    <n v="5.5"/>
    <n v="3"/>
    <n v="10.5"/>
    <n v="6.208333333333333"/>
    <n v="7.25"/>
    <n v="5.75"/>
    <n v="5.6"/>
    <n v="5.2"/>
    <n v="6.75"/>
    <n v="8"/>
    <n v="6.4249999999999998"/>
    <n v="8"/>
    <n v="7.25"/>
    <n v="0"/>
    <m/>
    <m/>
    <m/>
    <m/>
    <n v="5.083333333333333"/>
  </r>
  <r>
    <n v="2"/>
    <s v="IXT"/>
    <x v="0"/>
    <x v="0"/>
    <x v="1"/>
    <x v="0"/>
    <n v="9.5714285714285712"/>
    <n v="10.571428571428571"/>
    <n v="12"/>
    <n v="8.8000000000000007"/>
    <n v="8.9090909090909083"/>
    <n v="9.8181818181818183"/>
    <n v="9"/>
    <n v="9.3333333333333339"/>
    <n v="9.0769230769230766"/>
    <n v="8.1538461538461533"/>
    <n v="8"/>
    <n v="10.30769231"/>
    <n v="10.62"/>
    <n v="8.4600000000000009"/>
    <n v="3.7"/>
    <n v="9.0881283162821624"/>
    <n v="9.643434343434345"/>
    <n v="8.3312087915384616"/>
    <n v="7.82"/>
    <n v="7.27"/>
    <n v="9.1999999999999993"/>
    <n v="10.4"/>
    <n v="9.8000000000000007"/>
    <n v="9.4"/>
    <n v="8.9816666666666656"/>
    <n v="10"/>
    <n v="10.6"/>
    <n v="10.6"/>
    <n v="10.4"/>
    <n v="10.6"/>
    <n v="11.8"/>
    <n v="10.666666666666666"/>
    <n v="10.8"/>
    <n v="13.8"/>
    <n v="10.199999999999999"/>
    <m/>
    <m/>
    <m/>
    <m/>
    <n v="11.6"/>
  </r>
  <r>
    <n v="3"/>
    <s v="IXT"/>
    <x v="0"/>
    <x v="1"/>
    <x v="2"/>
    <x v="0"/>
    <n v="3.1111111111111112"/>
    <n v="3.5555555555555554"/>
    <n v="2.2222222222222223"/>
    <n v="2.8888888888888888"/>
    <n v="3.3333333333333335"/>
    <n v="3"/>
    <n v="2.4"/>
    <n v="4.3"/>
    <n v="3.9"/>
    <n v="5"/>
    <n v="4"/>
    <n v="3.5555555999999999"/>
    <n v="4.0599999999999996"/>
    <n v="3.94"/>
    <n v="5.1111111111111107"/>
    <n v="3.6251851881481474"/>
    <n v="3.0240740740740741"/>
    <n v="4.2238095301587304"/>
    <n v="3"/>
    <n v="4.33"/>
    <n v="4"/>
    <n v="4.33"/>
    <n v="4.22"/>
    <n v="3.56"/>
    <n v="3.9066666666666663"/>
    <n v="4.1111111111111107"/>
    <n v="3.7777777777777777"/>
    <n v="4.1100000000000003"/>
    <n v="4.8888888890000004"/>
    <n v="5.33"/>
    <n v="5.3888888888888893"/>
    <n v="4.6011111111296303"/>
    <n v="5"/>
    <n v="5.56"/>
    <n v="5.6666666670000003"/>
    <m/>
    <m/>
    <m/>
    <m/>
    <n v="5.408888889"/>
  </r>
  <r>
    <n v="4"/>
    <s v="IXT"/>
    <x v="0"/>
    <x v="1"/>
    <x v="3"/>
    <x v="0"/>
    <n v="4.25"/>
    <n v="4"/>
    <n v="5.25"/>
    <n v="5"/>
    <n v="4.25"/>
    <n v="4"/>
    <n v="3.25"/>
    <n v="4.75"/>
    <n v="4.3"/>
    <n v="4"/>
    <n v="3.5"/>
    <n v="5"/>
    <n v="4.5"/>
    <n v="4.25"/>
    <n v="4"/>
    <n v="4.2866666666666662"/>
    <n v="4.416666666666667"/>
    <n v="4.2214285714285715"/>
    <n v="3.25"/>
    <n v="4.25"/>
    <n v="4.75"/>
    <n v="5"/>
    <n v="6"/>
    <n v="3.25"/>
    <n v="4.416666666666667"/>
    <n v="4.25"/>
    <n v="4"/>
    <n v="4.5"/>
    <n v="5"/>
    <n v="4"/>
    <n v="4"/>
    <n v="4.291666666666667"/>
    <n v="3.25"/>
    <n v="5"/>
    <n v="5.25"/>
    <m/>
    <m/>
    <m/>
    <m/>
    <n v="4.5"/>
  </r>
  <r>
    <n v="5"/>
    <s v="IXT"/>
    <x v="0"/>
    <x v="1"/>
    <x v="4"/>
    <x v="0"/>
    <n v="7.833333333333333"/>
    <n v="7.166666666666667"/>
    <n v="10"/>
    <n v="12.5"/>
    <n v="13.333333333333334"/>
    <n v="7.833333333333333"/>
    <n v="13.666666666666666"/>
    <n v="11.166666666666666"/>
    <n v="11.2"/>
    <n v="11.4"/>
    <n v="10.8"/>
    <n v="10"/>
    <n v="12"/>
    <n v="11"/>
    <n v="7.2"/>
    <n v="10.473333333333334"/>
    <n v="11.416666666666666"/>
    <n v="10.514285714285716"/>
    <n v="11.4"/>
    <n v="13"/>
    <n v="12.6"/>
    <n v="12"/>
    <n v="12.4"/>
    <n v="9.5714285714285712"/>
    <n v="11.828571428571429"/>
    <n v="12.8"/>
    <n v="14.2"/>
    <n v="13.2"/>
    <n v="14"/>
    <n v="12"/>
    <n v="12"/>
    <n v="13.033333333333333"/>
    <n v="13.2"/>
    <n v="14"/>
    <n v="15"/>
    <m/>
    <m/>
    <m/>
    <m/>
    <n v="14.066666666666668"/>
  </r>
  <r>
    <n v="6"/>
    <s v="IXT"/>
    <x v="0"/>
    <x v="1"/>
    <x v="5"/>
    <x v="0"/>
    <n v="7.6363636363636367"/>
    <n v="6.9090909090909092"/>
    <n v="7.333333333333333"/>
    <n v="8.5"/>
    <n v="8.1666666666666661"/>
    <n v="8"/>
    <n v="5.833333333333333"/>
    <n v="8.3333333333333339"/>
    <n v="8.2857142857142865"/>
    <n v="7.9"/>
    <n v="8.2857142857142865"/>
    <n v="7.1428571429999996"/>
    <n v="7.43"/>
    <n v="7.57"/>
    <n v="9.3000000000000007"/>
    <n v="7.7750937951033192"/>
    <n v="7.6944444444444455"/>
    <n v="7.9877551020612243"/>
    <n v="9"/>
    <n v="8.2799999999999994"/>
    <n v="9.14"/>
    <n v="9.7100000000000009"/>
    <n v="8.86"/>
    <n v="8.25"/>
    <n v="8.8733333333333331"/>
    <n v="9"/>
    <n v="9.2857142857142865"/>
    <n v="9.14"/>
    <n v="9.5714285710000002"/>
    <n v="10.14"/>
    <n v="9.5714285714285712"/>
    <n v="9.4514285713571429"/>
    <n v="10.57"/>
    <n v="9.86"/>
    <n v="10.14285714"/>
    <m/>
    <m/>
    <m/>
    <m/>
    <n v="10.190952380000001"/>
  </r>
  <r>
    <n v="7"/>
    <s v="IXT"/>
    <x v="0"/>
    <x v="1"/>
    <x v="6"/>
    <x v="0"/>
    <n v="8.5"/>
    <n v="9"/>
    <n v="7.5"/>
    <n v="8.5"/>
    <n v="9"/>
    <n v="9"/>
    <n v="8.5"/>
    <n v="13"/>
    <n v="9"/>
    <n v="7.5"/>
    <n v="6.5"/>
    <n v="3.5"/>
    <n v="6.5"/>
    <n v="4"/>
    <n v="6"/>
    <n v="7.7333333333333334"/>
    <n v="9.25"/>
    <n v="6.1428571428571432"/>
    <n v="3"/>
    <n v="4.5"/>
    <n v="2"/>
    <n v="2"/>
    <n v="7.33"/>
    <n v="6.666666666666667"/>
    <n v="4.2494444444444444"/>
    <n v="11.5"/>
    <n v="12.5"/>
    <n v="5.5"/>
    <n v="10.5"/>
    <n v="9.5"/>
    <n v="10.5"/>
    <n v="10"/>
    <n v="11"/>
    <n v="9"/>
    <n v="10"/>
    <m/>
    <m/>
    <m/>
    <m/>
    <n v="10"/>
  </r>
  <r>
    <n v="8"/>
    <s v="IXT"/>
    <x v="0"/>
    <x v="0"/>
    <x v="7"/>
    <x v="0"/>
    <n v="4.5"/>
    <n v="5"/>
    <n v="3"/>
    <n v="9"/>
    <n v="3.4285714285714284"/>
    <n v="7.8571428571428568"/>
    <n v="5"/>
    <n v="8.1428571428571423"/>
    <n v="8.375"/>
    <n v="8.25"/>
    <n v="7.875"/>
    <n v="9.75"/>
    <n v="7.5"/>
    <n v="4.87"/>
    <n v="5.125"/>
    <n v="6.511571428571429"/>
    <n v="6.0714285714285721"/>
    <n v="7.3921428571428569"/>
    <n v="3.75"/>
    <n v="7.25"/>
    <n v="8.5"/>
    <n v="10.119999999999999"/>
    <n v="7.38"/>
    <n v="7.625"/>
    <n v="7.4375"/>
    <n v="7.25"/>
    <n v="5.125"/>
    <n v="6.38"/>
    <n v="5.125"/>
    <n v="4.88"/>
    <n v="6.125"/>
    <n v="5.814166666666666"/>
    <n v="5.13"/>
    <n v="5.88"/>
    <n v="4.875"/>
    <m/>
    <m/>
    <m/>
    <m/>
    <n v="5.2949999999999999"/>
  </r>
  <r>
    <n v="9"/>
    <s v="IXT"/>
    <x v="0"/>
    <x v="0"/>
    <x v="8"/>
    <x v="1"/>
    <n v="7.8571428571428568"/>
    <n v="7.1428571428571432"/>
    <n v="6.375"/>
    <n v="5.375"/>
    <n v="5.625"/>
    <n v="5.5"/>
    <n v="4.3076923076923075"/>
    <n v="5.8461538461538458"/>
    <n v="6.9230769230769234"/>
    <n v="8"/>
    <n v="9.0769230769230766"/>
    <n v="8.461538462"/>
    <n v="7.85"/>
    <n v="7.69"/>
    <n v="6.9230769230769234"/>
    <n v="6.8635641025948706"/>
    <n v="5.5048076923076925"/>
    <n v="7.8463736264395596"/>
    <m/>
    <m/>
    <m/>
    <m/>
    <m/>
    <m/>
    <m/>
    <m/>
    <m/>
    <m/>
    <m/>
    <m/>
    <m/>
    <m/>
    <m/>
    <m/>
    <m/>
    <m/>
    <m/>
    <m/>
    <m/>
    <m/>
  </r>
  <r>
    <n v="10"/>
    <s v="IXT"/>
    <x v="0"/>
    <x v="0"/>
    <x v="9"/>
    <x v="0"/>
    <n v="3.6"/>
    <n v="5.2"/>
    <n v="7.7333333333333334"/>
    <n v="5.7333333333333334"/>
    <n v="6"/>
    <n v="6.2666666666666666"/>
    <n v="6.2222222222222223"/>
    <n v="4.8888888888888893"/>
    <n v="6.2222222222222223"/>
    <n v="7.1111111111111107"/>
    <n v="8.6666666666666661"/>
    <n v="10.444444000000001"/>
    <n v="7.33"/>
    <n v="6"/>
    <n v="6.4444444444444446"/>
    <n v="6.5242221925925925"/>
    <n v="6.1407407407407417"/>
    <n v="7.4598412063492061"/>
    <n v="3.38"/>
    <n v="7.75"/>
    <n v="8.25"/>
    <n v="7.12"/>
    <n v="9.8800000000000008"/>
    <n v="9.375"/>
    <n v="7.6258333333333335"/>
    <n v="7.375"/>
    <n v="8.25"/>
    <n v="8.75"/>
    <n v="9.375"/>
    <n v="6.38"/>
    <n v="4.75"/>
    <n v="7.48"/>
    <n v="5.25"/>
    <n v="5.38"/>
    <n v="5.5"/>
    <m/>
    <m/>
    <m/>
    <m/>
    <n v="5.376666666666666"/>
  </r>
  <r>
    <n v="11"/>
    <s v="IXT"/>
    <x v="0"/>
    <x v="0"/>
    <x v="10"/>
    <x v="0"/>
    <n v="1.6923076923076923"/>
    <n v="6.3076923076923075"/>
    <n v="3.0769230769230771"/>
    <n v="2.4615384615384617"/>
    <n v="6.4615384615384617"/>
    <n v="3.3846153846153846"/>
    <n v="4.4615384615384617"/>
    <n v="5.5384615384615383"/>
    <n v="7.0769230769230766"/>
    <n v="6.3076923076923075"/>
    <n v="3.0769230769230771"/>
    <n v="7.076923077"/>
    <n v="5.69"/>
    <n v="6.5"/>
    <n v="4"/>
    <n v="4.8742051282102574"/>
    <n v="4.2307692307692308"/>
    <n v="5.6754945055054948"/>
    <n v="6.92"/>
    <n v="7.5"/>
    <n v="6.29"/>
    <n v="7.85"/>
    <n v="6.31"/>
    <n v="7.2307692307692308"/>
    <n v="7.0167948717948727"/>
    <n v="5.8461538461538458"/>
    <n v="5.8461538461538458"/>
    <n v="5.69"/>
    <n v="9.08"/>
    <n v="8.17"/>
    <n v="9"/>
    <n v="7.2720512820512822"/>
    <n v="5.82"/>
    <n v="9"/>
    <n v="8.73"/>
    <m/>
    <m/>
    <m/>
    <m/>
    <n v="7.8500000000000005"/>
  </r>
  <r>
    <n v="12"/>
    <s v="IXT"/>
    <x v="0"/>
    <x v="0"/>
    <x v="11"/>
    <x v="0"/>
    <n v="3.6923076923076925"/>
    <n v="10.307692307692308"/>
    <n v="5.333333333333333"/>
    <n v="1.8666666666666667"/>
    <n v="3.3333333333333335"/>
    <n v="3.3333333333333335"/>
    <n v="4.2666666666666666"/>
    <n v="4.666666666666667"/>
    <n v="5.2"/>
    <n v="2.8"/>
    <n v="3.8666666666666667"/>
    <n v="5.0666666669999998"/>
    <n v="4.26"/>
    <n v="4.5"/>
    <n v="3.8666666666666667"/>
    <n v="4.4240000000222217"/>
    <n v="3.8000000000000003"/>
    <n v="4.2228571429047621"/>
    <n v="6.13"/>
    <n v="4.9000000000000004"/>
    <n v="6"/>
    <n v="7.83"/>
    <n v="4.33"/>
    <n v="7.833333333333333"/>
    <n v="6.1705555555555556"/>
    <n v="6.833333333333333"/>
    <n v="6.083333333333333"/>
    <n v="4.46"/>
    <n v="7.846153846"/>
    <n v="7.8571428571428568"/>
    <n v="6.5714285714285712"/>
    <n v="6.6085653235396817"/>
    <m/>
    <m/>
    <m/>
    <m/>
    <m/>
    <m/>
    <m/>
    <m/>
  </r>
  <r>
    <n v="13"/>
    <s v="IXT"/>
    <x v="1"/>
    <x v="2"/>
    <x v="12"/>
    <x v="0"/>
    <n v="9.5348837209302317"/>
    <n v="6.7441860465116266"/>
    <n v="8.117647058823529"/>
    <n v="7.8"/>
    <n v="8.9"/>
    <n v="8.3000000000000007"/>
    <n v="8.1999999999999993"/>
    <n v="10.8"/>
    <n v="5.9"/>
    <n v="9.1"/>
    <n v="6.6"/>
    <n v="7.4116999999999997"/>
    <n v="8"/>
    <n v="6.9"/>
    <n v="6.3529411764705879"/>
    <n v="7.9107572001823989"/>
    <n v="8.6862745098039227"/>
    <n v="7.1806630252100847"/>
    <n v="7.41"/>
    <n v="5.0999999999999996"/>
    <n v="11.1"/>
    <n v="9.6999999999999993"/>
    <n v="7.29"/>
    <n v="6"/>
    <n v="7.7666666666666666"/>
    <n v="7.8"/>
    <n v="9.6"/>
    <n v="7.4"/>
    <n v="13.4"/>
    <n v="5"/>
    <n v="7.333333333333333"/>
    <n v="8.4222222222222225"/>
    <n v="5.83"/>
    <n v="8.5"/>
    <n v="10"/>
    <m/>
    <m/>
    <m/>
    <m/>
    <n v="8.11"/>
  </r>
  <r>
    <n v="14"/>
    <s v="IXT"/>
    <x v="1"/>
    <x v="2"/>
    <x v="13"/>
    <x v="0"/>
    <m/>
    <m/>
    <m/>
    <n v="6.6"/>
    <n v="4.9000000000000004"/>
    <n v="5.7"/>
    <n v="4"/>
    <n v="5.7"/>
    <n v="7.7"/>
    <n v="5.7"/>
    <n v="2.9"/>
    <n v="4.5713999999999997"/>
    <n v="6"/>
    <n v="3.3"/>
    <n v="8"/>
    <n v="5.4226166666666664"/>
    <n v="5.38"/>
    <n v="5.4530571428571433"/>
    <n v="2"/>
    <n v="5.3"/>
    <n v="5.3"/>
    <n v="7"/>
    <n v="6.29"/>
    <n v="4.8571428571428568"/>
    <n v="5.1245238095238097"/>
    <n v="9.1999999999999993"/>
    <n v="8.4"/>
    <n v="5.33"/>
    <n v="8"/>
    <n v="6.8"/>
    <n v="10.8"/>
    <n v="8.0883333333333329"/>
    <n v="10"/>
    <n v="8.6999999999999993"/>
    <n v="8.4"/>
    <m/>
    <m/>
    <m/>
    <m/>
    <n v="9.0333333333333332"/>
  </r>
  <r>
    <n v="15"/>
    <s v="IXT"/>
    <x v="1"/>
    <x v="2"/>
    <x v="14"/>
    <x v="0"/>
    <n v="9.4444444444444446"/>
    <n v="11.944444444444445"/>
    <n v="7.75"/>
    <n v="9.5"/>
    <n v="8.5"/>
    <n v="8.25"/>
    <n v="7"/>
    <n v="9.5"/>
    <n v="7"/>
    <n v="10.75"/>
    <n v="7.8"/>
    <n v="9"/>
    <n v="13.65"/>
    <n v="9"/>
    <n v="3.75"/>
    <n v="8.8559259259259271"/>
    <n v="8.4166666666666661"/>
    <n v="8.7071428571428573"/>
    <n v="10"/>
    <n v="7"/>
    <n v="8.8000000000000007"/>
    <n v="5.8"/>
    <n v="8.25"/>
    <n v="4.5"/>
    <n v="7.3916666666666666"/>
    <n v="8.5"/>
    <n v="6"/>
    <n v="5.5"/>
    <n v="4.5"/>
    <n v="5.5"/>
    <n v="5.25"/>
    <n v="5.875"/>
    <n v="5.5"/>
    <m/>
    <m/>
    <m/>
    <m/>
    <m/>
    <m/>
    <n v="5.5"/>
  </r>
  <r>
    <n v="16"/>
    <s v="IXT"/>
    <x v="1"/>
    <x v="2"/>
    <x v="15"/>
    <x v="0"/>
    <n v="9.3000000000000007"/>
    <n v="8.8000000000000007"/>
    <n v="8.5"/>
    <n v="9.1"/>
    <n v="9.1999999999999993"/>
    <n v="7.9"/>
    <n v="7.8"/>
    <n v="8.8000000000000007"/>
    <n v="6.2"/>
    <n v="7.2"/>
    <n v="9.1"/>
    <n v="8.8000000000000007"/>
    <n v="9"/>
    <n v="8.9"/>
    <n v="7.6"/>
    <n v="8.413333333333334"/>
    <n v="8.5499999999999989"/>
    <n v="8.1142857142857139"/>
    <n v="6.6"/>
    <n v="7.9"/>
    <n v="8.8000000000000007"/>
    <n v="8.8000000000000007"/>
    <n v="8.1999999999999993"/>
    <m/>
    <n v="8.0599999999999987"/>
    <n v="0.89"/>
    <n v="6.2"/>
    <n v="5.8"/>
    <s v="-"/>
    <m/>
    <m/>
    <n v="4.2966666666666669"/>
    <m/>
    <m/>
    <m/>
    <m/>
    <m/>
    <m/>
    <m/>
    <m/>
  </r>
  <r>
    <n v="17"/>
    <s v="IXT"/>
    <x v="2"/>
    <x v="3"/>
    <x v="16"/>
    <x v="0"/>
    <n v="5.333333333333333"/>
    <n v="4"/>
    <n v="2.6363636363636362"/>
    <n v="3.8181818181818183"/>
    <n v="4.7272727272727275"/>
    <n v="5.1818181818181817"/>
    <n v="3.9"/>
    <n v="5"/>
    <n v="5.2"/>
    <n v="5.5"/>
    <n v="5.4"/>
    <n v="5.2"/>
    <n v="5.9"/>
    <n v="5.9"/>
    <n v="5.4"/>
    <n v="4.8731313131313136"/>
    <n v="4.2106060606060609"/>
    <n v="5.5"/>
    <n v="4.9000000000000004"/>
    <n v="5.6"/>
    <n v="5.36"/>
    <n v="6.81"/>
    <n v="6"/>
    <n v="6.5454545454545459"/>
    <n v="5.8692424242424233"/>
    <n v="6.4"/>
    <n v="6.7"/>
    <n v="5.8"/>
    <n v="5.9"/>
    <n v="5.2"/>
    <n v="5.2"/>
    <n v="5.8666666666666671"/>
    <n v="5.3"/>
    <n v="6"/>
    <n v="5.4"/>
    <m/>
    <m/>
    <m/>
    <m/>
    <n v="5.5666666666666673"/>
  </r>
  <r>
    <n v="18"/>
    <s v="IXT"/>
    <x v="2"/>
    <x v="3"/>
    <x v="17"/>
    <x v="0"/>
    <n v="4.9000000000000004"/>
    <n v="7.3"/>
    <n v="6.2727272727272725"/>
    <n v="6.9090909090909092"/>
    <n v="7.5454545454545459"/>
    <n v="6.3636363636363633"/>
    <n v="5.7272727272727275"/>
    <n v="6.7272727272727275"/>
    <n v="6"/>
    <n v="6.9"/>
    <n v="6.5"/>
    <n v="6.4"/>
    <n v="6.1"/>
    <n v="6.1"/>
    <n v="4.7272727272727275"/>
    <n v="6.2981818181818188"/>
    <n v="6.5909090909090908"/>
    <n v="6.1038961038961039"/>
    <n v="5.9"/>
    <n v="5.6"/>
    <n v="7.45"/>
    <n v="7.18"/>
    <n v="6.45"/>
    <n v="5.9090909090909092"/>
    <n v="6.4148484848484841"/>
    <n v="6.8"/>
    <n v="6.1"/>
    <n v="5.27"/>
    <n v="6.2727272730000001"/>
    <n v="7.0909090909090908"/>
    <n v="6.8181818181818183"/>
    <n v="6.3919696970151518"/>
    <n v="7.09"/>
    <n v="7"/>
    <n v="7.0909090910000003"/>
    <m/>
    <m/>
    <m/>
    <m/>
    <n v="7.0603030303333334"/>
  </r>
  <r>
    <n v="19"/>
    <s v="IXT"/>
    <x v="2"/>
    <x v="3"/>
    <x v="18"/>
    <x v="0"/>
    <n v="4.4444444444444446"/>
    <n v="5.4444444444444446"/>
    <n v="4.5999999999999996"/>
    <n v="4.9000000000000004"/>
    <n v="4.7"/>
    <n v="5.3"/>
    <n v="5.5"/>
    <n v="5.4"/>
    <n v="4.3"/>
    <n v="6.3"/>
    <n v="5.9"/>
    <n v="4.5"/>
    <n v="2.1999999999999997"/>
    <n v="5"/>
    <n v="3.43"/>
    <n v="4.7945925925925925"/>
    <n v="5.0666666666666664"/>
    <n v="4.5185714285714287"/>
    <n v="3"/>
    <n v="4.5"/>
    <n v="4.82"/>
    <n v="5.36"/>
    <n v="6.58"/>
    <n v="5.083333333333333"/>
    <n v="4.8905555555555553"/>
    <n v="5.3636363636363633"/>
    <n v="5.2818181818181822"/>
    <n v="5.7"/>
    <n v="5.2"/>
    <n v="4.5"/>
    <n v="8"/>
    <n v="5.6742424242424248"/>
    <n v="3.6"/>
    <n v="4.8"/>
    <n v="5.5"/>
    <m/>
    <m/>
    <m/>
    <m/>
    <n v="4.6333333333333337"/>
  </r>
  <r>
    <n v="20"/>
    <s v="IXT"/>
    <x v="2"/>
    <x v="4"/>
    <x v="19"/>
    <x v="0"/>
    <n v="7.1"/>
    <n v="5.4"/>
    <n v="6.2222222222222223"/>
    <n v="6.333333333333333"/>
    <n v="5.4444444444444446"/>
    <n v="4.666666666666667"/>
    <n v="6.7777777777777777"/>
    <n v="6.1111111111111107"/>
    <n v="6.1111111111111107"/>
    <n v="3.5555555555555554"/>
    <n v="5.1100000000000003"/>
    <n v="6"/>
    <n v="5.77"/>
    <n v="3.88"/>
    <n v="3.3333333333333335"/>
    <n v="5.4543703703703699"/>
    <n v="5.9259259259259265"/>
    <n v="4.822857142857143"/>
    <n v="6.22"/>
    <n v="6.11"/>
    <n v="6.11"/>
    <n v="6.33"/>
    <n v="6.44"/>
    <n v="6.5"/>
    <n v="6.285000000000001"/>
    <n v="5.4444444444444446"/>
    <n v="6.666666666666667"/>
    <n v="6.22"/>
    <n v="7"/>
    <n v="7.22"/>
    <n v="8.2222222222222214"/>
    <n v="6.7955555555555556"/>
    <n v="9.56"/>
    <n v="8.7799999999999994"/>
    <m/>
    <m/>
    <m/>
    <m/>
    <m/>
    <n v="9.17"/>
  </r>
  <r>
    <n v="21"/>
    <s v="IXT"/>
    <x v="0"/>
    <x v="0"/>
    <x v="20"/>
    <x v="1"/>
    <m/>
    <m/>
    <m/>
    <m/>
    <n v="1.25"/>
    <n v="8"/>
    <n v="5.5"/>
    <n v="5.5"/>
    <n v="8"/>
    <n v="5.5"/>
    <n v="5.75"/>
    <n v="5.25"/>
    <n v="6.75"/>
    <n v="3.25"/>
    <n v="5.5"/>
    <n v="5.4772727272727275"/>
    <n v="5.0625"/>
    <n v="5.7142857142857144"/>
    <m/>
    <m/>
    <m/>
    <m/>
    <m/>
    <m/>
    <m/>
    <m/>
    <m/>
    <m/>
    <m/>
    <m/>
    <m/>
    <m/>
    <m/>
    <m/>
    <m/>
    <m/>
    <m/>
    <m/>
    <m/>
    <m/>
  </r>
  <r>
    <n v="22"/>
    <s v="IXT"/>
    <x v="2"/>
    <x v="5"/>
    <x v="21"/>
    <x v="0"/>
    <m/>
    <m/>
    <m/>
    <m/>
    <m/>
    <m/>
    <m/>
    <m/>
    <n v="16"/>
    <n v="13"/>
    <n v="13"/>
    <n v="14.5"/>
    <n v="9"/>
    <n v="7.5"/>
    <n v="12"/>
    <n v="12.142857142857142"/>
    <n v="12.142857142857142"/>
    <n v="12.142857142857142"/>
    <n v="12"/>
    <n v="11.5"/>
    <n v="14"/>
    <n v="11.5"/>
    <n v="12"/>
    <n v="9"/>
    <n v="11.666666666666666"/>
    <n v="13"/>
    <n v="14"/>
    <n v="14"/>
    <n v="15"/>
    <n v="12.5"/>
    <n v="13.5"/>
    <n v="13.666666666666666"/>
    <n v="10.5"/>
    <n v="12"/>
    <n v="12"/>
    <m/>
    <m/>
    <m/>
    <m/>
    <n v="11.5"/>
  </r>
  <r>
    <n v="23"/>
    <s v="IXT"/>
    <x v="2"/>
    <x v="5"/>
    <x v="22"/>
    <x v="0"/>
    <m/>
    <m/>
    <m/>
    <m/>
    <m/>
    <m/>
    <m/>
    <m/>
    <n v="10"/>
    <n v="8.25"/>
    <n v="12.75"/>
    <n v="12.75"/>
    <n v="10.25"/>
    <n v="6"/>
    <n v="2.25"/>
    <n v="8.8928571428571423"/>
    <n v="8.8928571428571423"/>
    <n v="8.8928571428571423"/>
    <n v="14"/>
    <n v="14"/>
    <n v="12.67"/>
    <n v="11.33"/>
    <n v="8.75"/>
    <n v="9.6666666666666661"/>
    <n v="11.736111111111112"/>
    <n v="6"/>
    <n v="12"/>
    <n v="11.75"/>
    <n v="11.5"/>
    <n v="10"/>
    <n v="9.8000000000000007"/>
    <n v="10.174999999999999"/>
    <n v="8.6"/>
    <n v="10"/>
    <n v="9.1999999999999993"/>
    <m/>
    <m/>
    <m/>
    <m/>
    <n v="9.2666666666666675"/>
  </r>
  <r>
    <n v="24"/>
    <s v="IXT"/>
    <x v="2"/>
    <x v="5"/>
    <x v="23"/>
    <x v="0"/>
    <m/>
    <m/>
    <m/>
    <m/>
    <m/>
    <m/>
    <m/>
    <m/>
    <n v="5"/>
    <n v="6.5"/>
    <n v="8"/>
    <n v="11.5"/>
    <n v="2.5"/>
    <n v="1"/>
    <n v="2.5"/>
    <n v="5.2857142857142856"/>
    <n v="5.2857142857142856"/>
    <n v="5.2857142857142856"/>
    <m/>
    <m/>
    <m/>
    <m/>
    <n v="8.5"/>
    <n v="6.5"/>
    <n v="7.5"/>
    <n v="10"/>
    <m/>
    <m/>
    <m/>
    <m/>
    <m/>
    <n v="10"/>
    <m/>
    <m/>
    <m/>
    <m/>
    <m/>
    <m/>
    <m/>
    <m/>
  </r>
  <r>
    <n v="25"/>
    <s v="IXT"/>
    <x v="3"/>
    <x v="6"/>
    <x v="24"/>
    <x v="2"/>
    <m/>
    <m/>
    <m/>
    <m/>
    <m/>
    <m/>
    <m/>
    <m/>
    <m/>
    <m/>
    <m/>
    <m/>
    <m/>
    <m/>
    <m/>
    <m/>
    <m/>
    <m/>
    <m/>
    <m/>
    <m/>
    <m/>
    <m/>
    <m/>
    <m/>
    <m/>
    <m/>
    <m/>
    <m/>
    <m/>
    <m/>
    <m/>
    <m/>
    <m/>
    <m/>
    <m/>
    <m/>
    <m/>
    <m/>
    <m/>
  </r>
  <r>
    <n v="26"/>
    <s v="IXT"/>
    <x v="2"/>
    <x v="6"/>
    <x v="24"/>
    <x v="2"/>
    <m/>
    <m/>
    <m/>
    <m/>
    <m/>
    <m/>
    <m/>
    <m/>
    <m/>
    <m/>
    <m/>
    <m/>
    <m/>
    <m/>
    <m/>
    <m/>
    <m/>
    <m/>
    <m/>
    <m/>
    <m/>
    <m/>
    <m/>
    <m/>
    <m/>
    <m/>
    <m/>
    <m/>
    <m/>
    <m/>
    <m/>
    <m/>
    <m/>
    <m/>
    <m/>
    <m/>
    <m/>
    <m/>
    <m/>
    <m/>
  </r>
  <r>
    <n v="27"/>
    <s v="IXT"/>
    <x v="2"/>
    <x v="6"/>
    <x v="25"/>
    <x v="2"/>
    <m/>
    <m/>
    <m/>
    <m/>
    <m/>
    <m/>
    <m/>
    <m/>
    <m/>
    <m/>
    <m/>
    <m/>
    <m/>
    <m/>
    <m/>
    <m/>
    <m/>
    <m/>
    <m/>
    <m/>
    <m/>
    <m/>
    <m/>
    <m/>
    <m/>
    <m/>
    <m/>
    <m/>
    <m/>
    <m/>
    <m/>
    <m/>
    <m/>
    <m/>
    <m/>
    <m/>
    <m/>
    <m/>
    <m/>
    <m/>
  </r>
  <r>
    <n v="28"/>
    <s v="IXT"/>
    <x v="1"/>
    <x v="2"/>
    <x v="26"/>
    <x v="0"/>
    <m/>
    <m/>
    <m/>
    <m/>
    <m/>
    <m/>
    <m/>
    <m/>
    <m/>
    <m/>
    <m/>
    <m/>
    <m/>
    <m/>
    <m/>
    <m/>
    <m/>
    <m/>
    <m/>
    <m/>
    <m/>
    <m/>
    <m/>
    <m/>
    <m/>
    <n v="3.3333333333333335"/>
    <n v="9"/>
    <n v="4"/>
    <n v="8.5"/>
    <n v="7.5"/>
    <n v="3.5"/>
    <n v="5.9722222222222223"/>
    <n v="7"/>
    <m/>
    <m/>
    <m/>
    <m/>
    <m/>
    <m/>
    <n v="7"/>
  </r>
  <r>
    <m/>
    <m/>
    <x v="4"/>
    <x v="6"/>
    <x v="27"/>
    <x v="2"/>
    <m/>
    <m/>
    <m/>
    <m/>
    <m/>
    <m/>
    <m/>
    <m/>
    <m/>
    <m/>
    <m/>
    <m/>
    <m/>
    <m/>
    <m/>
    <m/>
    <m/>
    <m/>
    <m/>
    <m/>
    <m/>
    <m/>
    <m/>
    <m/>
    <m/>
    <m/>
    <m/>
    <m/>
    <m/>
    <m/>
    <m/>
    <m/>
    <m/>
    <m/>
    <m/>
    <m/>
    <m/>
    <m/>
    <m/>
    <m/>
  </r>
  <r>
    <m/>
    <m/>
    <x v="4"/>
    <x v="6"/>
    <x v="27"/>
    <x v="2"/>
    <m/>
    <m/>
    <m/>
    <m/>
    <m/>
    <m/>
    <m/>
    <m/>
    <m/>
    <n v="5"/>
    <m/>
    <m/>
    <m/>
    <m/>
    <m/>
    <n v="14"/>
    <m/>
    <m/>
    <m/>
    <m/>
    <m/>
    <m/>
    <m/>
    <m/>
    <m/>
    <m/>
    <m/>
    <m/>
    <m/>
    <m/>
    <m/>
    <m/>
    <m/>
    <m/>
    <m/>
    <m/>
    <m/>
    <m/>
    <m/>
    <m/>
  </r>
  <r>
    <m/>
    <m/>
    <x v="4"/>
    <x v="6"/>
    <x v="27"/>
    <x v="2"/>
    <m/>
    <m/>
    <m/>
    <m/>
    <m/>
    <m/>
    <m/>
    <m/>
    <m/>
    <n v="5"/>
    <m/>
    <m/>
    <m/>
    <m/>
    <m/>
    <n v="10"/>
    <m/>
    <m/>
    <m/>
    <m/>
    <m/>
    <m/>
    <m/>
    <m/>
    <m/>
    <m/>
    <m/>
    <m/>
    <m/>
    <m/>
    <m/>
    <m/>
    <m/>
    <m/>
    <m/>
    <m/>
    <m/>
    <m/>
    <m/>
    <m/>
  </r>
  <r>
    <m/>
    <m/>
    <x v="4"/>
    <x v="6"/>
    <x v="27"/>
    <x v="2"/>
    <m/>
    <m/>
    <m/>
    <m/>
    <m/>
    <m/>
    <m/>
    <m/>
    <m/>
    <n v="10"/>
    <m/>
    <m/>
    <m/>
    <m/>
    <m/>
    <n v="10"/>
    <m/>
    <m/>
    <m/>
    <m/>
    <m/>
    <m/>
    <m/>
    <m/>
    <m/>
    <m/>
    <m/>
    <m/>
    <m/>
    <m/>
    <m/>
    <m/>
    <m/>
    <m/>
    <m/>
    <m/>
    <m/>
    <m/>
    <m/>
    <m/>
  </r>
  <r>
    <m/>
    <m/>
    <x v="4"/>
    <x v="6"/>
    <x v="27"/>
    <x v="2"/>
    <m/>
    <m/>
    <m/>
    <m/>
    <m/>
    <m/>
    <m/>
    <m/>
    <m/>
    <n v="10"/>
    <m/>
    <m/>
    <m/>
    <m/>
    <m/>
    <n v="11.333333333333334"/>
    <m/>
    <m/>
    <m/>
    <m/>
    <m/>
    <m/>
    <m/>
    <m/>
    <m/>
    <m/>
    <m/>
    <m/>
    <m/>
    <m/>
    <m/>
    <m/>
    <m/>
    <m/>
    <m/>
    <m/>
    <m/>
    <m/>
    <m/>
    <m/>
  </r>
  <r>
    <m/>
    <m/>
    <x v="4"/>
    <x v="6"/>
    <x v="27"/>
    <x v="2"/>
    <m/>
    <m/>
    <m/>
    <m/>
    <m/>
    <m/>
    <m/>
    <m/>
    <m/>
    <n v="10"/>
    <m/>
    <m/>
    <m/>
    <m/>
    <m/>
    <n v="9.0666666666666682"/>
    <m/>
    <m/>
    <m/>
    <m/>
    <m/>
    <m/>
    <m/>
    <m/>
    <m/>
    <m/>
    <m/>
    <m/>
    <m/>
    <m/>
    <m/>
    <m/>
    <m/>
    <m/>
    <m/>
    <m/>
    <m/>
    <m/>
    <m/>
    <m/>
  </r>
  <r>
    <m/>
    <m/>
    <x v="4"/>
    <x v="6"/>
    <x v="27"/>
    <x v="2"/>
    <m/>
    <m/>
    <m/>
    <m/>
    <m/>
    <m/>
    <m/>
    <m/>
    <m/>
    <m/>
    <m/>
    <m/>
    <m/>
    <m/>
    <m/>
    <m/>
    <m/>
    <m/>
    <m/>
    <m/>
    <m/>
    <m/>
    <m/>
    <m/>
    <m/>
    <m/>
    <m/>
    <m/>
    <m/>
    <m/>
    <m/>
    <m/>
    <m/>
    <m/>
    <m/>
    <m/>
    <m/>
    <m/>
    <m/>
    <m/>
  </r>
  <r>
    <m/>
    <m/>
    <x v="4"/>
    <x v="6"/>
    <x v="27"/>
    <x v="2"/>
    <m/>
    <m/>
    <m/>
    <m/>
    <m/>
    <m/>
    <m/>
    <m/>
    <m/>
    <n v="8"/>
    <m/>
    <m/>
    <m/>
    <m/>
    <m/>
    <m/>
    <m/>
    <m/>
    <m/>
    <m/>
    <m/>
    <m/>
    <m/>
    <m/>
    <m/>
    <m/>
    <m/>
    <m/>
    <m/>
    <m/>
    <m/>
    <m/>
    <m/>
    <m/>
    <m/>
    <m/>
    <m/>
    <m/>
    <m/>
    <m/>
  </r>
  <r>
    <m/>
    <m/>
    <x v="4"/>
    <x v="6"/>
    <x v="27"/>
    <x v="2"/>
    <m/>
    <m/>
    <m/>
    <m/>
    <m/>
    <m/>
    <m/>
    <m/>
    <m/>
    <n v="6.4"/>
    <m/>
    <m/>
    <m/>
    <m/>
    <m/>
    <m/>
    <m/>
    <m/>
    <m/>
    <m/>
    <m/>
    <m/>
    <m/>
    <m/>
    <m/>
    <m/>
    <m/>
    <m/>
    <m/>
    <m/>
    <m/>
    <m/>
    <m/>
    <m/>
    <m/>
    <m/>
    <m/>
    <m/>
    <m/>
    <m/>
  </r>
  <r>
    <m/>
    <m/>
    <x v="4"/>
    <x v="6"/>
    <x v="27"/>
    <x v="2"/>
    <m/>
    <m/>
    <m/>
    <m/>
    <m/>
    <m/>
    <m/>
    <m/>
    <m/>
    <m/>
    <m/>
    <m/>
    <m/>
    <m/>
    <m/>
    <m/>
    <m/>
    <m/>
    <m/>
    <m/>
    <m/>
    <m/>
    <m/>
    <m/>
    <m/>
    <m/>
    <m/>
    <m/>
    <m/>
    <m/>
    <m/>
    <m/>
    <m/>
    <m/>
    <m/>
    <m/>
    <m/>
    <m/>
    <m/>
    <m/>
  </r>
  <r>
    <m/>
    <m/>
    <x v="4"/>
    <x v="6"/>
    <x v="27"/>
    <x v="2"/>
    <m/>
    <m/>
    <m/>
    <m/>
    <m/>
    <m/>
    <m/>
    <m/>
    <m/>
    <m/>
    <m/>
    <m/>
    <m/>
    <m/>
    <m/>
    <m/>
    <m/>
    <m/>
    <m/>
    <m/>
    <m/>
    <m/>
    <m/>
    <m/>
    <m/>
    <m/>
    <m/>
    <m/>
    <m/>
    <m/>
    <m/>
    <m/>
    <m/>
    <m/>
    <m/>
    <m/>
    <m/>
    <m/>
    <m/>
    <m/>
  </r>
  <r>
    <m/>
    <m/>
    <x v="4"/>
    <x v="6"/>
    <x v="27"/>
    <x v="2"/>
    <m/>
    <m/>
    <m/>
    <m/>
    <m/>
    <m/>
    <m/>
    <m/>
    <m/>
    <m/>
    <m/>
    <m/>
    <m/>
    <m/>
    <m/>
    <m/>
    <m/>
    <m/>
    <m/>
    <m/>
    <m/>
    <m/>
    <m/>
    <m/>
    <m/>
    <m/>
    <m/>
    <m/>
    <m/>
    <m/>
    <m/>
    <m/>
    <m/>
    <m/>
    <m/>
    <m/>
    <m/>
    <m/>
    <m/>
    <m/>
  </r>
  <r>
    <m/>
    <m/>
    <x v="4"/>
    <x v="6"/>
    <x v="27"/>
    <x v="2"/>
    <m/>
    <m/>
    <m/>
    <m/>
    <m/>
    <m/>
    <m/>
    <m/>
    <m/>
    <m/>
    <m/>
    <m/>
    <m/>
    <m/>
    <m/>
    <m/>
    <m/>
    <m/>
    <m/>
    <m/>
    <m/>
    <m/>
    <m/>
    <m/>
    <m/>
    <m/>
    <m/>
    <m/>
    <m/>
    <m/>
    <m/>
    <m/>
    <m/>
    <m/>
    <m/>
    <m/>
    <m/>
    <m/>
    <m/>
    <m/>
  </r>
  <r>
    <m/>
    <m/>
    <x v="4"/>
    <x v="6"/>
    <x v="27"/>
    <x v="2"/>
    <m/>
    <m/>
    <m/>
    <m/>
    <m/>
    <m/>
    <m/>
    <m/>
    <m/>
    <m/>
    <m/>
    <m/>
    <m/>
    <m/>
    <m/>
    <m/>
    <m/>
    <m/>
    <m/>
    <m/>
    <m/>
    <m/>
    <m/>
    <m/>
    <m/>
    <m/>
    <m/>
    <m/>
    <m/>
    <m/>
    <m/>
    <m/>
    <m/>
    <m/>
    <m/>
    <m/>
    <m/>
    <m/>
    <m/>
    <m/>
  </r>
  <r>
    <m/>
    <m/>
    <x v="4"/>
    <x v="6"/>
    <x v="27"/>
    <x v="2"/>
    <m/>
    <m/>
    <m/>
    <m/>
    <m/>
    <m/>
    <m/>
    <m/>
    <m/>
    <m/>
    <m/>
    <m/>
    <m/>
    <m/>
    <m/>
    <m/>
    <m/>
    <m/>
    <m/>
    <m/>
    <m/>
    <m/>
    <m/>
    <m/>
    <m/>
    <m/>
    <m/>
    <m/>
    <m/>
    <m/>
    <m/>
    <m/>
    <m/>
    <m/>
    <m/>
    <m/>
    <m/>
    <m/>
    <m/>
    <m/>
  </r>
  <r>
    <m/>
    <m/>
    <x v="4"/>
    <x v="6"/>
    <x v="27"/>
    <x v="2"/>
    <m/>
    <m/>
    <m/>
    <m/>
    <m/>
    <m/>
    <m/>
    <m/>
    <m/>
    <m/>
    <m/>
    <m/>
    <m/>
    <m/>
    <m/>
    <m/>
    <m/>
    <m/>
    <m/>
    <m/>
    <m/>
    <m/>
    <m/>
    <m/>
    <m/>
    <m/>
    <m/>
    <m/>
    <m/>
    <m/>
    <m/>
    <m/>
    <m/>
    <m/>
    <m/>
    <m/>
    <m/>
    <m/>
    <m/>
    <m/>
  </r>
  <r>
    <m/>
    <m/>
    <x v="4"/>
    <x v="6"/>
    <x v="27"/>
    <x v="2"/>
    <m/>
    <m/>
    <m/>
    <m/>
    <m/>
    <m/>
    <m/>
    <m/>
    <m/>
    <m/>
    <m/>
    <m/>
    <m/>
    <m/>
    <m/>
    <m/>
    <m/>
    <m/>
    <m/>
    <m/>
    <m/>
    <m/>
    <m/>
    <m/>
    <m/>
    <m/>
    <m/>
    <m/>
    <m/>
    <m/>
    <m/>
    <m/>
    <m/>
    <m/>
    <m/>
    <m/>
    <m/>
    <m/>
    <m/>
    <m/>
  </r>
  <r>
    <m/>
    <m/>
    <x v="4"/>
    <x v="6"/>
    <x v="27"/>
    <x v="2"/>
    <m/>
    <m/>
    <m/>
    <m/>
    <m/>
    <m/>
    <m/>
    <m/>
    <m/>
    <m/>
    <m/>
    <m/>
    <m/>
    <m/>
    <m/>
    <m/>
    <m/>
    <m/>
    <m/>
    <m/>
    <m/>
    <m/>
    <m/>
    <m/>
    <m/>
    <m/>
    <m/>
    <m/>
    <m/>
    <m/>
    <m/>
    <m/>
    <m/>
    <m/>
    <m/>
    <m/>
    <m/>
    <m/>
    <m/>
    <m/>
  </r>
  <r>
    <m/>
    <m/>
    <x v="4"/>
    <x v="6"/>
    <x v="27"/>
    <x v="2"/>
    <m/>
    <m/>
    <m/>
    <m/>
    <m/>
    <m/>
    <m/>
    <m/>
    <m/>
    <m/>
    <m/>
    <m/>
    <m/>
    <m/>
    <m/>
    <m/>
    <m/>
    <m/>
    <m/>
    <m/>
    <m/>
    <m/>
    <m/>
    <m/>
    <m/>
    <m/>
    <m/>
    <m/>
    <m/>
    <m/>
    <m/>
    <m/>
    <m/>
    <m/>
    <m/>
    <m/>
    <m/>
    <m/>
    <m/>
    <m/>
  </r>
  <r>
    <m/>
    <m/>
    <x v="4"/>
    <x v="6"/>
    <x v="27"/>
    <x v="2"/>
    <m/>
    <m/>
    <m/>
    <m/>
    <m/>
    <m/>
    <m/>
    <m/>
    <m/>
    <m/>
    <m/>
    <m/>
    <m/>
    <m/>
    <m/>
    <m/>
    <m/>
    <m/>
    <m/>
    <m/>
    <m/>
    <m/>
    <m/>
    <m/>
    <m/>
    <m/>
    <m/>
    <m/>
    <m/>
    <m/>
    <m/>
    <m/>
    <m/>
    <m/>
    <m/>
    <m/>
    <m/>
    <m/>
    <m/>
    <m/>
  </r>
  <r>
    <m/>
    <m/>
    <x v="4"/>
    <x v="6"/>
    <x v="27"/>
    <x v="2"/>
    <m/>
    <m/>
    <m/>
    <m/>
    <m/>
    <m/>
    <m/>
    <m/>
    <m/>
    <m/>
    <m/>
    <m/>
    <m/>
    <m/>
    <m/>
    <m/>
    <m/>
    <m/>
    <m/>
    <m/>
    <m/>
    <m/>
    <m/>
    <m/>
    <m/>
    <m/>
    <m/>
    <m/>
    <m/>
    <m/>
    <m/>
    <m/>
    <m/>
    <m/>
    <m/>
    <m/>
    <m/>
    <m/>
    <m/>
    <m/>
  </r>
  <r>
    <m/>
    <m/>
    <x v="4"/>
    <x v="6"/>
    <x v="27"/>
    <x v="2"/>
    <m/>
    <m/>
    <m/>
    <m/>
    <m/>
    <m/>
    <m/>
    <m/>
    <m/>
    <m/>
    <m/>
    <m/>
    <m/>
    <m/>
    <m/>
    <m/>
    <m/>
    <m/>
    <m/>
    <m/>
    <m/>
    <m/>
    <m/>
    <m/>
    <m/>
    <m/>
    <m/>
    <m/>
    <m/>
    <m/>
    <m/>
    <m/>
    <m/>
    <m/>
    <m/>
    <m/>
    <m/>
    <m/>
    <m/>
    <m/>
  </r>
  <r>
    <m/>
    <m/>
    <x v="4"/>
    <x v="6"/>
    <x v="27"/>
    <x v="2"/>
    <m/>
    <m/>
    <m/>
    <m/>
    <m/>
    <m/>
    <m/>
    <m/>
    <m/>
    <m/>
    <m/>
    <m/>
    <m/>
    <m/>
    <m/>
    <m/>
    <m/>
    <m/>
    <m/>
    <m/>
    <m/>
    <m/>
    <m/>
    <m/>
    <m/>
    <m/>
    <m/>
    <m/>
    <m/>
    <m/>
    <m/>
    <m/>
    <m/>
    <m/>
    <m/>
    <m/>
    <m/>
    <m/>
    <m/>
    <m/>
  </r>
  <r>
    <m/>
    <m/>
    <x v="4"/>
    <x v="6"/>
    <x v="27"/>
    <x v="2"/>
    <m/>
    <m/>
    <m/>
    <m/>
    <m/>
    <m/>
    <m/>
    <m/>
    <m/>
    <m/>
    <m/>
    <m/>
    <m/>
    <m/>
    <m/>
    <m/>
    <m/>
    <m/>
    <m/>
    <m/>
    <m/>
    <m/>
    <m/>
    <m/>
    <m/>
    <m/>
    <m/>
    <m/>
    <m/>
    <m/>
    <m/>
    <m/>
    <m/>
    <m/>
    <m/>
    <m/>
    <m/>
    <m/>
    <m/>
    <m/>
  </r>
  <r>
    <m/>
    <m/>
    <x v="4"/>
    <x v="6"/>
    <x v="27"/>
    <x v="2"/>
    <m/>
    <m/>
    <m/>
    <m/>
    <m/>
    <m/>
    <m/>
    <m/>
    <m/>
    <m/>
    <m/>
    <m/>
    <m/>
    <m/>
    <m/>
    <m/>
    <m/>
    <m/>
    <m/>
    <m/>
    <m/>
    <m/>
    <m/>
    <m/>
    <m/>
    <m/>
    <m/>
    <m/>
    <m/>
    <m/>
    <m/>
    <m/>
    <m/>
    <m/>
    <m/>
    <m/>
    <m/>
    <m/>
    <m/>
    <m/>
  </r>
  <r>
    <m/>
    <m/>
    <x v="4"/>
    <x v="6"/>
    <x v="27"/>
    <x v="2"/>
    <m/>
    <m/>
    <m/>
    <m/>
    <m/>
    <m/>
    <m/>
    <m/>
    <m/>
    <m/>
    <m/>
    <m/>
    <m/>
    <m/>
    <m/>
    <m/>
    <m/>
    <m/>
    <m/>
    <m/>
    <m/>
    <m/>
    <m/>
    <m/>
    <m/>
    <m/>
    <m/>
    <m/>
    <m/>
    <m/>
    <m/>
    <m/>
    <m/>
    <m/>
    <m/>
    <m/>
    <m/>
    <m/>
    <m/>
    <m/>
  </r>
  <r>
    <m/>
    <m/>
    <x v="4"/>
    <x v="6"/>
    <x v="27"/>
    <x v="2"/>
    <m/>
    <m/>
    <m/>
    <m/>
    <m/>
    <m/>
    <m/>
    <m/>
    <m/>
    <m/>
    <m/>
    <m/>
    <m/>
    <m/>
    <m/>
    <m/>
    <m/>
    <m/>
    <m/>
    <m/>
    <m/>
    <m/>
    <m/>
    <m/>
    <m/>
    <m/>
    <m/>
    <m/>
    <m/>
    <m/>
    <m/>
    <m/>
    <m/>
    <m/>
    <m/>
    <m/>
    <m/>
    <m/>
    <m/>
    <m/>
  </r>
  <r>
    <m/>
    <m/>
    <x v="4"/>
    <x v="6"/>
    <x v="27"/>
    <x v="2"/>
    <m/>
    <m/>
    <m/>
    <m/>
    <m/>
    <m/>
    <m/>
    <m/>
    <m/>
    <m/>
    <m/>
    <m/>
    <m/>
    <m/>
    <m/>
    <m/>
    <m/>
    <m/>
    <m/>
    <m/>
    <m/>
    <m/>
    <m/>
    <m/>
    <m/>
    <m/>
    <m/>
    <m/>
    <m/>
    <m/>
    <m/>
    <m/>
    <m/>
    <m/>
    <m/>
    <m/>
    <m/>
    <m/>
    <m/>
    <m/>
  </r>
  <r>
    <m/>
    <m/>
    <x v="4"/>
    <x v="6"/>
    <x v="27"/>
    <x v="2"/>
    <m/>
    <m/>
    <m/>
    <m/>
    <m/>
    <m/>
    <m/>
    <m/>
    <m/>
    <m/>
    <m/>
    <m/>
    <m/>
    <m/>
    <m/>
    <m/>
    <m/>
    <m/>
    <m/>
    <m/>
    <m/>
    <m/>
    <m/>
    <m/>
    <m/>
    <m/>
    <m/>
    <m/>
    <m/>
    <m/>
    <m/>
    <m/>
    <m/>
    <m/>
    <m/>
    <m/>
    <m/>
    <m/>
    <m/>
    <m/>
  </r>
  <r>
    <m/>
    <m/>
    <x v="4"/>
    <x v="6"/>
    <x v="27"/>
    <x v="2"/>
    <m/>
    <m/>
    <m/>
    <m/>
    <m/>
    <m/>
    <m/>
    <m/>
    <m/>
    <m/>
    <m/>
    <m/>
    <m/>
    <m/>
    <m/>
    <m/>
    <m/>
    <m/>
    <m/>
    <m/>
    <m/>
    <m/>
    <m/>
    <m/>
    <m/>
    <m/>
    <m/>
    <m/>
    <m/>
    <m/>
    <m/>
    <m/>
    <m/>
    <m/>
    <m/>
    <m/>
    <m/>
    <m/>
    <m/>
    <m/>
  </r>
  <r>
    <m/>
    <m/>
    <x v="4"/>
    <x v="6"/>
    <x v="27"/>
    <x v="2"/>
    <m/>
    <m/>
    <m/>
    <m/>
    <m/>
    <m/>
    <m/>
    <m/>
    <m/>
    <m/>
    <m/>
    <m/>
    <m/>
    <m/>
    <m/>
    <m/>
    <m/>
    <m/>
    <m/>
    <m/>
    <m/>
    <m/>
    <m/>
    <m/>
    <m/>
    <m/>
    <m/>
    <m/>
    <m/>
    <m/>
    <m/>
    <m/>
    <m/>
    <m/>
    <m/>
    <m/>
    <m/>
    <m/>
    <m/>
    <m/>
  </r>
  <r>
    <m/>
    <m/>
    <x v="4"/>
    <x v="6"/>
    <x v="27"/>
    <x v="2"/>
    <m/>
    <m/>
    <m/>
    <m/>
    <m/>
    <m/>
    <m/>
    <m/>
    <m/>
    <m/>
    <m/>
    <m/>
    <m/>
    <m/>
    <m/>
    <m/>
    <m/>
    <m/>
    <m/>
    <m/>
    <m/>
    <m/>
    <m/>
    <m/>
    <m/>
    <m/>
    <m/>
    <m/>
    <m/>
    <m/>
    <m/>
    <m/>
    <m/>
    <m/>
    <m/>
    <m/>
    <m/>
    <m/>
    <m/>
    <m/>
  </r>
  <r>
    <m/>
    <m/>
    <x v="4"/>
    <x v="6"/>
    <x v="27"/>
    <x v="2"/>
    <m/>
    <m/>
    <m/>
    <m/>
    <m/>
    <m/>
    <m/>
    <m/>
    <m/>
    <m/>
    <m/>
    <m/>
    <m/>
    <m/>
    <m/>
    <m/>
    <m/>
    <m/>
    <m/>
    <m/>
    <m/>
    <m/>
    <m/>
    <m/>
    <m/>
    <m/>
    <m/>
    <m/>
    <m/>
    <m/>
    <m/>
    <m/>
    <m/>
    <m/>
    <m/>
    <m/>
    <m/>
    <m/>
    <m/>
    <m/>
  </r>
  <r>
    <m/>
    <m/>
    <x v="4"/>
    <x v="6"/>
    <x v="27"/>
    <x v="2"/>
    <m/>
    <m/>
    <m/>
    <m/>
    <m/>
    <m/>
    <m/>
    <m/>
    <m/>
    <m/>
    <m/>
    <m/>
    <m/>
    <m/>
    <m/>
    <m/>
    <m/>
    <m/>
    <m/>
    <m/>
    <m/>
    <m/>
    <m/>
    <m/>
    <m/>
    <m/>
    <m/>
    <m/>
    <m/>
    <m/>
    <m/>
    <m/>
    <m/>
    <m/>
    <m/>
    <m/>
    <m/>
    <m/>
    <m/>
    <m/>
  </r>
  <r>
    <m/>
    <m/>
    <x v="4"/>
    <x v="6"/>
    <x v="27"/>
    <x v="2"/>
    <m/>
    <m/>
    <m/>
    <m/>
    <m/>
    <m/>
    <m/>
    <m/>
    <m/>
    <m/>
    <m/>
    <m/>
    <m/>
    <m/>
    <m/>
    <m/>
    <m/>
    <m/>
    <m/>
    <m/>
    <m/>
    <m/>
    <m/>
    <m/>
    <m/>
    <m/>
    <m/>
    <m/>
    <m/>
    <m/>
    <m/>
    <m/>
    <m/>
    <m/>
    <m/>
    <m/>
    <m/>
    <m/>
    <m/>
    <m/>
  </r>
  <r>
    <m/>
    <m/>
    <x v="4"/>
    <x v="6"/>
    <x v="27"/>
    <x v="2"/>
    <m/>
    <m/>
    <m/>
    <m/>
    <m/>
    <m/>
    <m/>
    <m/>
    <m/>
    <m/>
    <m/>
    <m/>
    <m/>
    <m/>
    <m/>
    <m/>
    <m/>
    <m/>
    <m/>
    <m/>
    <m/>
    <m/>
    <m/>
    <m/>
    <m/>
    <m/>
    <m/>
    <m/>
    <m/>
    <m/>
    <m/>
    <m/>
    <m/>
    <m/>
    <m/>
    <m/>
    <m/>
    <m/>
    <m/>
    <m/>
  </r>
  <r>
    <m/>
    <m/>
    <x v="4"/>
    <x v="6"/>
    <x v="27"/>
    <x v="2"/>
    <m/>
    <m/>
    <m/>
    <m/>
    <m/>
    <m/>
    <m/>
    <m/>
    <m/>
    <m/>
    <m/>
    <m/>
    <m/>
    <m/>
    <m/>
    <m/>
    <m/>
    <m/>
    <m/>
    <m/>
    <m/>
    <m/>
    <m/>
    <m/>
    <m/>
    <m/>
    <m/>
    <m/>
    <m/>
    <m/>
    <m/>
    <m/>
    <m/>
    <m/>
    <m/>
    <m/>
    <m/>
    <m/>
    <m/>
    <m/>
  </r>
  <r>
    <m/>
    <m/>
    <x v="4"/>
    <x v="6"/>
    <x v="27"/>
    <x v="2"/>
    <m/>
    <m/>
    <m/>
    <m/>
    <m/>
    <m/>
    <m/>
    <m/>
    <m/>
    <m/>
    <m/>
    <m/>
    <m/>
    <m/>
    <m/>
    <m/>
    <m/>
    <m/>
    <m/>
    <m/>
    <m/>
    <m/>
    <m/>
    <m/>
    <m/>
    <m/>
    <m/>
    <m/>
    <m/>
    <m/>
    <m/>
    <m/>
    <m/>
    <m/>
    <m/>
    <m/>
    <m/>
    <m/>
    <m/>
    <m/>
  </r>
  <r>
    <m/>
    <m/>
    <x v="4"/>
    <x v="6"/>
    <x v="27"/>
    <x v="2"/>
    <m/>
    <m/>
    <m/>
    <m/>
    <m/>
    <m/>
    <m/>
    <m/>
    <m/>
    <m/>
    <m/>
    <m/>
    <m/>
    <m/>
    <m/>
    <m/>
    <m/>
    <m/>
    <m/>
    <m/>
    <m/>
    <m/>
    <m/>
    <m/>
    <m/>
    <m/>
    <m/>
    <m/>
    <m/>
    <m/>
    <m/>
    <m/>
    <m/>
    <m/>
    <m/>
    <m/>
    <m/>
    <m/>
    <m/>
    <m/>
  </r>
  <r>
    <m/>
    <m/>
    <x v="4"/>
    <x v="6"/>
    <x v="27"/>
    <x v="2"/>
    <m/>
    <m/>
    <m/>
    <m/>
    <m/>
    <m/>
    <m/>
    <m/>
    <m/>
    <m/>
    <m/>
    <m/>
    <m/>
    <m/>
    <m/>
    <m/>
    <m/>
    <m/>
    <m/>
    <m/>
    <m/>
    <m/>
    <m/>
    <m/>
    <m/>
    <m/>
    <m/>
    <m/>
    <m/>
    <m/>
    <m/>
    <m/>
    <m/>
    <m/>
    <m/>
    <m/>
    <m/>
    <m/>
    <m/>
    <m/>
  </r>
  <r>
    <m/>
    <m/>
    <x v="4"/>
    <x v="6"/>
    <x v="27"/>
    <x v="2"/>
    <m/>
    <m/>
    <m/>
    <m/>
    <m/>
    <m/>
    <m/>
    <m/>
    <m/>
    <m/>
    <m/>
    <m/>
    <m/>
    <m/>
    <m/>
    <m/>
    <m/>
    <m/>
    <m/>
    <m/>
    <m/>
    <m/>
    <m/>
    <m/>
    <m/>
    <m/>
    <m/>
    <m/>
    <m/>
    <m/>
    <m/>
    <m/>
    <m/>
    <m/>
    <m/>
    <m/>
    <m/>
    <m/>
    <m/>
    <m/>
  </r>
  <r>
    <m/>
    <m/>
    <x v="4"/>
    <x v="6"/>
    <x v="27"/>
    <x v="2"/>
    <m/>
    <m/>
    <m/>
    <m/>
    <m/>
    <m/>
    <m/>
    <m/>
    <m/>
    <m/>
    <m/>
    <m/>
    <m/>
    <m/>
    <m/>
    <m/>
    <m/>
    <m/>
    <m/>
    <m/>
    <m/>
    <m/>
    <m/>
    <m/>
    <m/>
    <m/>
    <m/>
    <m/>
    <m/>
    <m/>
    <m/>
    <m/>
    <m/>
    <m/>
    <m/>
    <m/>
    <m/>
    <m/>
    <m/>
    <m/>
  </r>
  <r>
    <m/>
    <m/>
    <x v="4"/>
    <x v="6"/>
    <x v="27"/>
    <x v="2"/>
    <m/>
    <m/>
    <m/>
    <m/>
    <m/>
    <m/>
    <m/>
    <m/>
    <m/>
    <m/>
    <m/>
    <m/>
    <m/>
    <m/>
    <m/>
    <m/>
    <m/>
    <m/>
    <m/>
    <m/>
    <m/>
    <m/>
    <m/>
    <m/>
    <m/>
    <m/>
    <m/>
    <m/>
    <m/>
    <m/>
    <m/>
    <m/>
    <m/>
    <m/>
    <m/>
    <m/>
    <m/>
    <m/>
    <m/>
    <m/>
  </r>
  <r>
    <m/>
    <m/>
    <x v="4"/>
    <x v="6"/>
    <x v="27"/>
    <x v="2"/>
    <m/>
    <m/>
    <m/>
    <m/>
    <m/>
    <m/>
    <m/>
    <m/>
    <m/>
    <m/>
    <m/>
    <m/>
    <m/>
    <m/>
    <m/>
    <m/>
    <m/>
    <m/>
    <m/>
    <m/>
    <m/>
    <m/>
    <m/>
    <m/>
    <m/>
    <m/>
    <m/>
    <m/>
    <m/>
    <m/>
    <m/>
    <m/>
    <m/>
    <m/>
    <m/>
    <m/>
    <m/>
    <m/>
    <m/>
    <m/>
  </r>
  <r>
    <m/>
    <m/>
    <x v="4"/>
    <x v="6"/>
    <x v="27"/>
    <x v="2"/>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D72E8D-8EF9-49D9-869E-0D59F6C7E361}"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Workstream">
  <location ref="A4:F34" firstHeaderRow="0" firstDataRow="1" firstDataCol="1" rowPageCount="2" colPageCount="1"/>
  <pivotFields count="46">
    <pivotField showAll="0"/>
    <pivotField showAll="0"/>
    <pivotField axis="axisPage" multipleItemSelectionAllowed="1" showAll="0">
      <items count="6">
        <item x="3"/>
        <item x="0"/>
        <item x="1"/>
        <item x="2"/>
        <item x="4"/>
        <item t="default"/>
      </items>
    </pivotField>
    <pivotField axis="axisRow" showAll="0">
      <items count="8">
        <item x="5"/>
        <item x="0"/>
        <item x="4"/>
        <item x="2"/>
        <item x="1"/>
        <item x="3"/>
        <item sd="0" x="6"/>
        <item t="default" sd="0"/>
      </items>
    </pivotField>
    <pivotField axis="axisRow" showAll="0">
      <items count="29">
        <item x="21"/>
        <item x="23"/>
        <item x="22"/>
        <item x="4"/>
        <item x="5"/>
        <item x="0"/>
        <item x="25"/>
        <item x="19"/>
        <item x="20"/>
        <item x="3"/>
        <item x="2"/>
        <item x="15"/>
        <item x="14"/>
        <item x="12"/>
        <item x="13"/>
        <item x="6"/>
        <item x="24"/>
        <item x="10"/>
        <item x="11"/>
        <item x="7"/>
        <item x="8"/>
        <item x="9"/>
        <item x="18"/>
        <item x="17"/>
        <item x="16"/>
        <item x="1"/>
        <item x="27"/>
        <item x="26"/>
        <item t="default"/>
      </items>
    </pivotField>
    <pivotField axis="axisPage" multipleItemSelectionAllowed="1" showAll="0">
      <items count="4">
        <item h="1" x="1"/>
        <item x="0"/>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dataField="1" showAll="0"/>
  </pivotFields>
  <rowFields count="2">
    <field x="3"/>
    <field x="4"/>
  </rowFields>
  <rowItems count="30">
    <i>
      <x/>
    </i>
    <i r="1">
      <x/>
    </i>
    <i r="1">
      <x v="1"/>
    </i>
    <i r="1">
      <x v="2"/>
    </i>
    <i>
      <x v="1"/>
    </i>
    <i r="1">
      <x v="5"/>
    </i>
    <i r="1">
      <x v="17"/>
    </i>
    <i r="1">
      <x v="18"/>
    </i>
    <i r="1">
      <x v="19"/>
    </i>
    <i r="1">
      <x v="21"/>
    </i>
    <i r="1">
      <x v="25"/>
    </i>
    <i>
      <x v="2"/>
    </i>
    <i r="1">
      <x v="7"/>
    </i>
    <i>
      <x v="3"/>
    </i>
    <i r="1">
      <x v="11"/>
    </i>
    <i r="1">
      <x v="12"/>
    </i>
    <i r="1">
      <x v="13"/>
    </i>
    <i r="1">
      <x v="14"/>
    </i>
    <i r="1">
      <x v="27"/>
    </i>
    <i>
      <x v="4"/>
    </i>
    <i r="1">
      <x v="3"/>
    </i>
    <i r="1">
      <x v="4"/>
    </i>
    <i r="1">
      <x v="9"/>
    </i>
    <i r="1">
      <x v="10"/>
    </i>
    <i r="1">
      <x v="15"/>
    </i>
    <i>
      <x v="5"/>
    </i>
    <i r="1">
      <x v="22"/>
    </i>
    <i r="1">
      <x v="23"/>
    </i>
    <i r="1">
      <x v="24"/>
    </i>
    <i t="grand">
      <x/>
    </i>
  </rowItems>
  <colFields count="1">
    <field x="-2"/>
  </colFields>
  <colItems count="5">
    <i>
      <x/>
    </i>
    <i i="1">
      <x v="1"/>
    </i>
    <i i="2">
      <x v="2"/>
    </i>
    <i i="3">
      <x v="3"/>
    </i>
    <i i="4">
      <x v="4"/>
    </i>
  </colItems>
  <pageFields count="2">
    <pageField fld="2" hier="-1"/>
    <pageField fld="5" hier="-1"/>
  </pageFields>
  <dataFields count="5">
    <dataField name="Q3 (SP 14 to 19)" fld="22" subtotal="average" baseField="3" baseItem="1"/>
    <dataField name="Q4 (SP 20 to 26)" fld="23" subtotal="average" baseField="3" baseItem="1"/>
    <dataField name="Q1 (SP 1 to 6)" fld="30" subtotal="average" baseField="3" baseItem="1"/>
    <dataField name="Q2 (SP 7 to 12)" fld="37" subtotal="average" baseField="3" baseItem="1"/>
    <dataField name="Q3 (SP 13 to 15)" fld="45" subtotal="average" baseField="3" baseItem="0"/>
  </dataFields>
  <formats count="1">
    <format dxfId="25">
      <pivotArea outline="0" collapsedLevelsAreSubtotals="1" fieldPosition="0"/>
    </format>
  </formats>
  <chartFormats count="1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pivotArea type="data" outline="0" fieldPosition="0">
        <references count="2">
          <reference field="4294967294" count="1" selected="0">
            <x v="2"/>
          </reference>
          <reference field="3" count="1" selected="0">
            <x v="3"/>
          </reference>
        </references>
      </pivotArea>
    </chartFormat>
    <chartFormat chart="0" format="5" series="1">
      <pivotArea type="data" outline="0" fieldPosition="0">
        <references count="1">
          <reference field="4294967294" count="1" selected="0">
            <x v="4"/>
          </reference>
        </references>
      </pivotArea>
    </chartFormat>
    <chartFormat chart="0" format="6">
      <pivotArea type="data" outline="0" fieldPosition="0">
        <references count="3">
          <reference field="4294967294" count="1" selected="0">
            <x v="2"/>
          </reference>
          <reference field="3" count="1" selected="0">
            <x v="3"/>
          </reference>
          <reference field="4" count="1" selected="0">
            <x v="11"/>
          </reference>
        </references>
      </pivotArea>
    </chartFormat>
    <chartFormat chart="0" format="7">
      <pivotArea type="data" outline="0" fieldPosition="0">
        <references count="3">
          <reference field="4294967294" count="1" selected="0">
            <x v="2"/>
          </reference>
          <reference field="3" count="1" selected="0">
            <x v="3"/>
          </reference>
          <reference field="4" count="1" selected="0">
            <x v="12"/>
          </reference>
        </references>
      </pivotArea>
    </chartFormat>
    <chartFormat chart="0" format="8">
      <pivotArea type="data" outline="0" fieldPosition="0">
        <references count="3">
          <reference field="4294967294" count="1" selected="0">
            <x v="2"/>
          </reference>
          <reference field="3" count="1" selected="0">
            <x v="3"/>
          </reference>
          <reference field="4" count="1" selected="0">
            <x v="13"/>
          </reference>
        </references>
      </pivotArea>
    </chartFormat>
    <chartFormat chart="0" format="9">
      <pivotArea type="data" outline="0" fieldPosition="0">
        <references count="3">
          <reference field="4294967294" count="1" selected="0">
            <x v="2"/>
          </reference>
          <reference field="3" count="1" selected="0">
            <x v="3"/>
          </reference>
          <reference field="4" count="1" selected="0">
            <x v="14"/>
          </reference>
        </references>
      </pivotArea>
    </chartFormat>
    <chartFormat chart="0" format="10">
      <pivotArea type="data" outline="0" fieldPosition="0">
        <references count="3">
          <reference field="4294967294" count="1" selected="0">
            <x v="2"/>
          </reference>
          <reference field="3" count="1" selected="0">
            <x v="3"/>
          </reference>
          <reference field="4" count="1" selected="0">
            <x v="2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B1D58D-8F25-4E47-892E-86EC9F7ABEDE}"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4:E11" firstHeaderRow="0" firstDataRow="1" firstDataCol="1" rowPageCount="2" colPageCount="1"/>
  <pivotFields count="76">
    <pivotField showAll="0"/>
    <pivotField axis="axisPage" showAll="0">
      <items count="5">
        <item sd="0" x="0"/>
        <item sd="0" x="1"/>
        <item sd="0" x="2"/>
        <item sd="0" x="3"/>
        <item t="default" sd="0"/>
      </items>
    </pivotField>
    <pivotField axis="axisRow" showAll="0">
      <items count="8">
        <item sd="0" x="5"/>
        <item sd="0" x="0"/>
        <item sd="0" x="4"/>
        <item sd="0" x="2"/>
        <item sd="0" x="1"/>
        <item sd="0" x="3"/>
        <item x="6"/>
        <item t="default"/>
      </items>
    </pivotField>
    <pivotField axis="axisRow" showAll="0">
      <items count="27">
        <item x="21"/>
        <item x="23"/>
        <item x="22"/>
        <item x="4"/>
        <item x="5"/>
        <item x="0"/>
        <item x="19"/>
        <item x="20"/>
        <item x="3"/>
        <item x="2"/>
        <item x="15"/>
        <item x="14"/>
        <item x="12"/>
        <item x="13"/>
        <item x="24"/>
        <item x="6"/>
        <item x="10"/>
        <item x="11"/>
        <item x="7"/>
        <item x="8"/>
        <item x="9"/>
        <item x="18"/>
        <item x="17"/>
        <item x="16"/>
        <item x="1"/>
        <item x="25"/>
        <item t="default"/>
      </items>
    </pivotField>
    <pivotField axis="axisPage"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2">
    <field x="2"/>
    <field x="3"/>
  </rowFields>
  <rowItems count="7">
    <i>
      <x/>
    </i>
    <i>
      <x v="1"/>
    </i>
    <i>
      <x v="2"/>
    </i>
    <i>
      <x v="3"/>
    </i>
    <i>
      <x v="4"/>
    </i>
    <i>
      <x v="5"/>
    </i>
    <i t="grand">
      <x/>
    </i>
  </rowItems>
  <colFields count="1">
    <field x="-2"/>
  </colFields>
  <colItems count="4">
    <i>
      <x/>
    </i>
    <i i="1">
      <x v="1"/>
    </i>
    <i i="2">
      <x v="2"/>
    </i>
    <i i="3">
      <x v="3"/>
    </i>
  </colItems>
  <pageFields count="2">
    <pageField fld="1" hier="-1"/>
    <pageField fld="4" item="1" hier="-1"/>
  </pageFields>
  <dataFields count="4">
    <dataField name="USP / SP in Q4 (SP 20 to 26)" fld="32" baseField="0" baseItem="0"/>
    <dataField name="USP / SP in Q1  (SP 1 to 6)" fld="48" baseField="0" baseItem="0"/>
    <dataField name="USP / SP in Q2 (SP 7 to 12)" fld="59" baseField="1" baseItem="1"/>
    <dataField name="USP / SP in Q3 (SP 13 to 15)" fld="74" baseField="1" baseItem="1"/>
  </dataFields>
  <formats count="1">
    <format dxfId="24">
      <pivotArea outline="0" collapsedLevelsAreSubtotals="1" fieldPosition="0"/>
    </format>
  </formats>
  <chartFormats count="4">
    <chartFormat chart="0" format="6" series="1">
      <pivotArea type="data" outline="0" fieldPosition="0">
        <references count="1">
          <reference field="4294967294" count="1" selected="0">
            <x v="0"/>
          </reference>
        </references>
      </pivotArea>
    </chartFormat>
    <chartFormat chart="0" format="9" series="1">
      <pivotArea type="data" outline="0" fieldPosition="0">
        <references count="1">
          <reference field="4294967294" count="1" selected="0">
            <x v="1"/>
          </reference>
        </references>
      </pivotArea>
    </chartFormat>
    <chartFormat chart="0" format="12" series="1">
      <pivotArea type="data" outline="0" fieldPosition="0">
        <references count="1">
          <reference field="4294967294" count="1" selected="0">
            <x v="2"/>
          </reference>
        </references>
      </pivotArea>
    </chartFormat>
    <chartFormat chart="0" format="1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B8C60F-65E6-4FDD-87F7-572DA96DE827}"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7">
  <location ref="A4:E11" firstHeaderRow="0" firstDataRow="1" firstDataCol="1" rowPageCount="2" colPageCount="1"/>
  <pivotFields count="47">
    <pivotField showAll="0"/>
    <pivotField showAll="0"/>
    <pivotField axis="axisPage" multipleItemSelectionAllowed="1" showAll="0">
      <items count="5">
        <item x="0"/>
        <item x="1"/>
        <item x="2"/>
        <item x="3"/>
        <item t="default"/>
      </items>
    </pivotField>
    <pivotField axis="axisRow" showAll="0">
      <items count="8">
        <item sd="0" x="5"/>
        <item sd="0" x="0"/>
        <item sd="0" x="4"/>
        <item sd="0" x="2"/>
        <item sd="0" x="1"/>
        <item sd="0" x="3"/>
        <item sd="0" x="6"/>
        <item t="default" sd="0"/>
      </items>
    </pivotField>
    <pivotField axis="axisPage" multipleItemSelectionAllowed="1" showAll="0">
      <items count="4">
        <item h="1" x="1"/>
        <item x="0"/>
        <item h="1" x="2"/>
        <item t="default"/>
      </items>
    </pivotField>
    <pivotField axis="axisRow" showAll="0">
      <items count="35">
        <item x="21"/>
        <item x="23"/>
        <item x="22"/>
        <item m="1" x="31"/>
        <item m="1" x="29"/>
        <item m="1" x="30"/>
        <item x="4"/>
        <item x="5"/>
        <item x="0"/>
        <item m="1" x="32"/>
        <item m="1" x="28"/>
        <item x="19"/>
        <item m="1" x="25"/>
        <item x="20"/>
        <item x="3"/>
        <item x="2"/>
        <item h="1" x="15"/>
        <item x="14"/>
        <item x="12"/>
        <item x="13"/>
        <item x="6"/>
        <item m="1" x="27"/>
        <item m="1" x="26"/>
        <item x="10"/>
        <item x="11"/>
        <item x="7"/>
        <item x="8"/>
        <item x="9"/>
        <item x="18"/>
        <item x="17"/>
        <item x="16"/>
        <item x="1"/>
        <item m="1" x="33"/>
        <item x="2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dataField="1" showAll="0"/>
    <pivotField showAll="0">
      <items count="16">
        <item n="CEUI" sd="0" x="14"/>
        <item n="Field experience" sd="0" x="13"/>
        <item n="Payment &amp; Billing" sd="0" x="12"/>
        <item sd="0" x="8"/>
        <item sd="0" x="6"/>
        <item sd="0" x="7"/>
        <item sd="0" x="10"/>
        <item sd="0" x="5"/>
        <item sd="0" x="2"/>
        <item sd="0" x="1"/>
        <item sd="0" x="4"/>
        <item sd="0" x="3"/>
        <item sd="0" x="0"/>
        <item sd="0" x="11"/>
        <item sd="0" x="9"/>
        <item t="default" sd="0"/>
      </items>
    </pivotField>
  </pivotFields>
  <rowFields count="2">
    <field x="3"/>
    <field x="5"/>
  </rowFields>
  <rowItems count="7">
    <i>
      <x/>
    </i>
    <i>
      <x v="1"/>
    </i>
    <i>
      <x v="2"/>
    </i>
    <i>
      <x v="3"/>
    </i>
    <i>
      <x v="4"/>
    </i>
    <i>
      <x v="5"/>
    </i>
    <i t="grand">
      <x/>
    </i>
  </rowItems>
  <colFields count="1">
    <field x="-2"/>
  </colFields>
  <colItems count="4">
    <i>
      <x/>
    </i>
    <i i="1">
      <x v="1"/>
    </i>
    <i i="2">
      <x v="2"/>
    </i>
    <i i="3">
      <x v="3"/>
    </i>
  </colItems>
  <pageFields count="2">
    <pageField fld="2" hier="-1"/>
    <pageField fld="4" hier="-1"/>
  </pageFields>
  <dataFields count="4">
    <dataField name="Q4 (SP 20 to 26)" fld="23" subtotal="average" baseField="3" baseItem="4"/>
    <dataField name="Q1 (SP 1 to 6)" fld="30" subtotal="average" baseField="3" baseItem="4"/>
    <dataField name="Q2(SP 7 to 12)" fld="37" subtotal="average" baseField="0" baseItem="0"/>
    <dataField name="Q3(SP 13 to 15)" fld="45" subtotal="average" baseField="3" baseItem="3"/>
  </dataFields>
  <formats count="1">
    <format dxfId="23">
      <pivotArea outline="0" collapsedLevelsAreSubtotals="1" fieldPosition="0"/>
    </format>
  </formats>
  <chartFormats count="12">
    <chartFormat chart="26" format="4"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1"/>
          </reference>
        </references>
      </pivotArea>
    </chartFormat>
    <chartFormat chart="27" format="7" series="1">
      <pivotArea type="data" outline="0" fieldPosition="0">
        <references count="1">
          <reference field="4294967294" count="1" selected="0">
            <x v="0"/>
          </reference>
        </references>
      </pivotArea>
    </chartFormat>
    <chartFormat chart="27" format="8" series="1">
      <pivotArea type="data" outline="0" fieldPosition="0">
        <references count="1">
          <reference field="4294967294" count="1" selected="0">
            <x v="1"/>
          </reference>
        </references>
      </pivotArea>
    </chartFormat>
    <chartFormat chart="37" format="4" series="1">
      <pivotArea type="data" outline="0" fieldPosition="0">
        <references count="1">
          <reference field="4294967294" count="1" selected="0">
            <x v="0"/>
          </reference>
        </references>
      </pivotArea>
    </chartFormat>
    <chartFormat chart="37" format="5" series="1">
      <pivotArea type="data" outline="0" fieldPosition="0">
        <references count="1">
          <reference field="4294967294" count="1" selected="0">
            <x v="1"/>
          </reference>
        </references>
      </pivotArea>
    </chartFormat>
    <chartFormat chart="38" format="7" series="1">
      <pivotArea type="data" outline="0" fieldPosition="0">
        <references count="1">
          <reference field="4294967294" count="1" selected="0">
            <x v="0"/>
          </reference>
        </references>
      </pivotArea>
    </chartFormat>
    <chartFormat chart="38" format="8" series="1">
      <pivotArea type="data" outline="0" fieldPosition="0">
        <references count="1">
          <reference field="4294967294" count="1" selected="0">
            <x v="1"/>
          </reference>
        </references>
      </pivotArea>
    </chartFormat>
    <chartFormat chart="56" format="1"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1"/>
          </reference>
        </references>
      </pivotArea>
    </chartFormat>
    <chartFormat chart="56" format="5" series="1">
      <pivotArea type="data" outline="0" fieldPosition="0">
        <references count="1">
          <reference field="4294967294" count="1" selected="0">
            <x v="2"/>
          </reference>
        </references>
      </pivotArea>
    </chartFormat>
    <chartFormat chart="56" format="6"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3C8EFC-E85C-4D52-A62E-07758F8165A1}"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7" firstHeaderRow="0" firstDataRow="1" firstDataCol="1" rowPageCount="1" colPageCount="1"/>
  <pivotFields count="19">
    <pivotField showAll="0"/>
    <pivotField axis="axisRow" showAll="0">
      <items count="6">
        <item sd="0" m="1" x="4"/>
        <item sd="0" x="0"/>
        <item sd="0" x="1"/>
        <item sd="0" x="2"/>
        <item sd="0" x="3"/>
        <item t="default" sd="0"/>
      </items>
    </pivotField>
    <pivotField axis="axisRow" showAll="0">
      <items count="8">
        <item x="5"/>
        <item sd="0" x="0"/>
        <item x="4"/>
        <item x="2"/>
        <item sd="0" x="1"/>
        <item x="3"/>
        <item x="6"/>
        <item t="default"/>
      </items>
    </pivotField>
    <pivotField axis="axisRow" showAll="0">
      <items count="27">
        <item x="21"/>
        <item x="23"/>
        <item x="22"/>
        <item x="4"/>
        <item x="5"/>
        <item x="0"/>
        <item x="19"/>
        <item x="20"/>
        <item x="3"/>
        <item x="2"/>
        <item x="15"/>
        <item x="14"/>
        <item x="12"/>
        <item x="13"/>
        <item x="24"/>
        <item x="6"/>
        <item x="10"/>
        <item x="11"/>
        <item x="7"/>
        <item x="8"/>
        <item x="9"/>
        <item x="18"/>
        <item x="17"/>
        <item x="16"/>
        <item x="1"/>
        <item x="25"/>
        <item t="default"/>
      </items>
    </pivotField>
    <pivotField axis="axisPage" showAll="0">
      <items count="4">
        <item x="1"/>
        <item x="0"/>
        <item x="2"/>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dataField="1" showAll="0"/>
  </pivotFields>
  <rowFields count="3">
    <field x="1"/>
    <field x="2"/>
    <field x="3"/>
  </rowFields>
  <rowItems count="4">
    <i>
      <x v="1"/>
    </i>
    <i>
      <x v="2"/>
    </i>
    <i>
      <x v="3"/>
    </i>
    <i t="grand">
      <x/>
    </i>
  </rowItems>
  <colFields count="1">
    <field x="-2"/>
  </colFields>
  <colItems count="2">
    <i>
      <x/>
    </i>
    <i i="1">
      <x v="1"/>
    </i>
  </colItems>
  <pageFields count="1">
    <pageField fld="4" item="1" hier="-1"/>
  </pageFields>
  <dataFields count="2">
    <dataField name="Average of Avg PRD Defect Density %  Q1 (SP 1 to 6)" fld="11" subtotal="average" baseField="3" baseItem="18"/>
    <dataField name="Average of Avg PRD Defect Density %  Q2 (SP 7 to 12)" fld="18" subtotal="average" baseField="3" baseItem="18"/>
  </dataFields>
  <formats count="1">
    <format dxfId="22">
      <pivotArea outline="0" collapsedLevelsAreSubtotals="1" fieldPosition="0"/>
    </format>
  </formats>
  <chartFormats count="2">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D00219-38EE-4EC5-AF1D-8B3BF8D83E10}"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7" firstHeaderRow="0" firstDataRow="1" firstDataCol="1" rowPageCount="1" colPageCount="1"/>
  <pivotFields count="19">
    <pivotField showAll="0"/>
    <pivotField axis="axisRow" showAll="0">
      <items count="6">
        <item sd="0" x="3"/>
        <item sd="0" x="0"/>
        <item sd="0" x="1"/>
        <item sd="0" x="2"/>
        <item sd="0" x="4"/>
        <item t="default" sd="0"/>
      </items>
    </pivotField>
    <pivotField axis="axisRow" showAll="0">
      <items count="8">
        <item sd="0" x="5"/>
        <item sd="0" x="0"/>
        <item sd="0" x="4"/>
        <item sd="0" x="2"/>
        <item sd="0" x="1"/>
        <item sd="0" x="3"/>
        <item sd="0" x="6"/>
        <item t="default" sd="0"/>
      </items>
    </pivotField>
    <pivotField axis="axisRow" showAll="0">
      <items count="27">
        <item x="21"/>
        <item x="23"/>
        <item x="22"/>
        <item x="4"/>
        <item x="5"/>
        <item x="0"/>
        <item x="19"/>
        <item x="20"/>
        <item x="3"/>
        <item x="2"/>
        <item x="15"/>
        <item x="14"/>
        <item x="12"/>
        <item x="13"/>
        <item x="25"/>
        <item x="6"/>
        <item x="10"/>
        <item x="11"/>
        <item x="7"/>
        <item x="8"/>
        <item x="9"/>
        <item x="18"/>
        <item x="17"/>
        <item x="16"/>
        <item x="1"/>
        <item x="24"/>
        <item t="default"/>
      </items>
    </pivotField>
    <pivotField axis="axisPage" showAll="0">
      <items count="4">
        <item x="1"/>
        <item x="0"/>
        <item x="2"/>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dataField="1" showAll="0"/>
  </pivotFields>
  <rowFields count="3">
    <field x="1"/>
    <field x="2"/>
    <field x="3"/>
  </rowFields>
  <rowItems count="4">
    <i>
      <x v="1"/>
    </i>
    <i>
      <x v="2"/>
    </i>
    <i>
      <x v="3"/>
    </i>
    <i t="grand">
      <x/>
    </i>
  </rowItems>
  <colFields count="1">
    <field x="-2"/>
  </colFields>
  <colItems count="2">
    <i>
      <x/>
    </i>
    <i i="1">
      <x v="1"/>
    </i>
  </colItems>
  <pageFields count="1">
    <pageField fld="4" item="1" hier="-1"/>
  </pageFields>
  <dataFields count="2">
    <dataField name="Q1 (SP 1 to 6)" fld="11" subtotal="average" baseField="1" baseItem="1"/>
    <dataField name="Q2 (SP 7 to 12)" fld="18" subtotal="average" baseField="1" baseItem="1"/>
  </dataFields>
  <formats count="1">
    <format dxfId="2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BE9B70-76EE-4384-917E-B8419E50DB3F}" name="LeadObservationsTable" displayName="LeadObservationsTable" ref="A7:J36" totalsRowShown="0" headerRowDxfId="7" dataDxfId="8">
  <autoFilter ref="A7:J36" xr:uid="{11BE9B70-76EE-4384-917E-B8419E50DB3F}"/>
  <tableColumns count="10">
    <tableColumn id="1" xr3:uid="{D5D0207B-6D7D-4A5C-A655-FF74C25D6B06}" name="Application / Workstream" dataDxfId="11">
      <calculatedColumnFormula>'Pivot Productivity'!A5</calculatedColumnFormula>
    </tableColumn>
    <tableColumn id="2" xr3:uid="{D6FA4B4C-294E-423E-A17F-589603D2758D}" name="Three-period pattern" dataDxfId="10">
      <calculatedColumnFormula>IF(E8="","Data gap",IF(C8="","No Q1 baseline",IF(AND(D8&gt;C8,E8&gt;D8),"Sustained increase",IF(AND(D8&lt;C8,E8&lt;D8),"Sustained decline",IF(AND(D8&lt;C8,E8&gt;D8),"Q3TD recovery",IF(AND(D8&gt;C8,E8&lt;D8),"Q3TD reversal","Stable / mixed"))))))</calculatedColumnFormula>
    </tableColumn>
    <tableColumn id="3" xr3:uid="{18ABD4C2-86BA-4FE7-9A81-81C26332AFC1}" name="Q1" dataDxfId="6">
      <calculatedColumnFormula>IF('Pivot Productivity'!D5="","",'Pivot Productivity'!D5)</calculatedColumnFormula>
    </tableColumn>
    <tableColumn id="4" xr3:uid="{E57818F5-6145-4F11-A909-83CAD056BA45}" name="Q2" dataDxfId="5">
      <calculatedColumnFormula>IF('Pivot Productivity'!E5="","",'Pivot Productivity'!E5)</calculatedColumnFormula>
    </tableColumn>
    <tableColumn id="5" xr3:uid="{6DFE4270-5985-45CA-A1F6-74ED64398CC1}" name="Q3TD*" dataDxfId="4">
      <calculatedColumnFormula>IF('Pivot Productivity'!F5="","",'Pivot Productivity'!F5)</calculatedColumnFormula>
    </tableColumn>
    <tableColumn id="6" xr3:uid="{32473D87-1B1C-46EB-AF25-820ED77A06AE}" name="Q1→Q2 Δ" dataDxfId="3">
      <calculatedColumnFormula>IF(OR(C8="",D8=""),"",D8-C8)</calculatedColumnFormula>
    </tableColumn>
    <tableColumn id="7" xr3:uid="{0A867F77-81B3-4845-BBD8-892419040B15}" name="Q2→Q3TD Δ*" dataDxfId="2">
      <calculatedColumnFormula>IF(OR(D8="",E8=""),"",E8-D8)</calculatedColumnFormula>
    </tableColumn>
    <tableColumn id="8" xr3:uid="{7E83996E-8BE7-4AA2-A517-92B44EE9D2CB}" name="Three-period observation" dataDxfId="1">
      <calculatedColumnFormula>IF(E8="","Q3TD is missing; Q1 was "&amp;TEXT(C8,"0.0")&amp;" and Q2 was "&amp;TEXT(D8,"0.0")&amp;".",IF(C8="","No Q1 baseline. Q2 was "&amp;TEXT(D8,"0.0")&amp;" and Q3TD is "&amp;TEXT(E8,"0.0")&amp;"; the Q3TD comparison remains preliminary.","Q1 "&amp;TEXT(C8,"0.0")&amp;" → Q2 "&amp;TEXT(D8,"0.0")&amp;" → Q3TD "&amp;TEXT(E8,"0.0")&amp;". Pattern: "&amp;LOWER(B8)&amp;"; Q3TD remains partial."))</calculatedColumnFormula>
    </tableColumn>
    <tableColumn id="9" xr3:uid="{237FD529-1771-4B4A-9B03-E9A33F10B606}" name="Question for application lead" dataDxfId="0">
      <calculatedColumnFormula>IF(B8="Sustained increase","Which repeatable practices drove improvement from Q1 through Q3TD, and can they be sustained through quarter-end?",IF(B8="Sustained decline","What persistent constraint has reduced productivity since Q1, and what corrective action is planned?",IF(B8="Q3TD recovery","What changed after the Q2 decline, and is the Q3TD recovery supported by enough sprint evidence?",IF(B8="Q3TD reversal","What changed after the Q2 improvement, and is the Q3TD reversal caused by capacity, complexity, dependencies, scope, or timing?",IF(B8="Data gap","When will Q3TD data be available, and should the missing value be treated as pending rather than zero?",IF(B8="No Q1 baseline","Why is Q1 unavailable, and what baseline should be used to assess this application?","What explains the stable or mixed pattern, and what should be monitored in the remaining Q3 sprints?"))))))</calculatedColumnFormula>
    </tableColumn>
    <tableColumn id="10" xr3:uid="{AD997F7C-869F-4C81-804F-1C986DC244DE}" name="Notes from lead" dataDxfId="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6B006-7E54-4A55-82F0-205D8DFF7A3D}">
  <dimension ref="A1:AT73"/>
  <sheetViews>
    <sheetView zoomScale="110" zoomScaleNormal="110" workbookViewId="0">
      <pane xSplit="5" ySplit="1" topLeftCell="F2" activePane="bottomRight" state="frozen"/>
      <selection pane="topRight" activeCell="E1" sqref="E1"/>
      <selection pane="bottomLeft" activeCell="A2" sqref="A2"/>
      <selection pane="bottomRight" activeCell="G25" sqref="G25"/>
    </sheetView>
  </sheetViews>
  <sheetFormatPr defaultRowHeight="15" customHeight="1" x14ac:dyDescent="0.35"/>
  <cols>
    <col min="1" max="1" width="9.1796875" bestFit="1" customWidth="1"/>
    <col min="2" max="2" width="10.6328125" bestFit="1" customWidth="1"/>
    <col min="3" max="3" width="12.36328125" bestFit="1" customWidth="1"/>
    <col min="4" max="4" width="12.1796875" bestFit="1" customWidth="1"/>
    <col min="5" max="5" width="18.6328125" bestFit="1" customWidth="1"/>
    <col min="6" max="6" width="12.6328125" bestFit="1" customWidth="1"/>
    <col min="7" max="16" width="12.90625" bestFit="1" customWidth="1"/>
    <col min="17" max="21" width="15.453125" bestFit="1" customWidth="1"/>
    <col min="22" max="22" width="11.81640625" style="20" bestFit="1" customWidth="1"/>
    <col min="23" max="23" width="12.6328125" style="20" bestFit="1" customWidth="1"/>
    <col min="24" max="24" width="12.6328125" bestFit="1" customWidth="1"/>
    <col min="25" max="30" width="13" bestFit="1" customWidth="1"/>
    <col min="31" max="31" width="12.6328125" bestFit="1" customWidth="1"/>
    <col min="32" max="34" width="13" bestFit="1" customWidth="1"/>
    <col min="35" max="36" width="12.90625" bestFit="1" customWidth="1"/>
    <col min="37" max="37" width="13" bestFit="1" customWidth="1"/>
    <col min="38" max="38" width="12.6328125" bestFit="1" customWidth="1"/>
    <col min="39" max="41" width="13" bestFit="1" customWidth="1"/>
    <col min="42" max="43" width="12.90625" bestFit="1" customWidth="1"/>
    <col min="44" max="44" width="13" bestFit="1" customWidth="1"/>
    <col min="45" max="45" width="13" customWidth="1"/>
    <col min="46" max="46" width="12.6328125" bestFit="1" customWidth="1"/>
  </cols>
  <sheetData>
    <row r="1" spans="1:46" ht="48" x14ac:dyDescent="0.35">
      <c r="A1" s="42" t="s">
        <v>0</v>
      </c>
      <c r="B1" s="42" t="s">
        <v>1</v>
      </c>
      <c r="C1" s="42" t="s">
        <v>2</v>
      </c>
      <c r="D1" s="129" t="s">
        <v>62</v>
      </c>
      <c r="E1" s="129" t="s">
        <v>3</v>
      </c>
      <c r="F1" s="129" t="s">
        <v>115</v>
      </c>
      <c r="G1" s="61" t="s">
        <v>65</v>
      </c>
      <c r="H1" s="61" t="s">
        <v>66</v>
      </c>
      <c r="I1" s="61" t="s">
        <v>67</v>
      </c>
      <c r="J1" s="61" t="s">
        <v>68</v>
      </c>
      <c r="K1" s="61" t="s">
        <v>69</v>
      </c>
      <c r="L1" s="61" t="s">
        <v>70</v>
      </c>
      <c r="M1" s="61" t="s">
        <v>71</v>
      </c>
      <c r="N1" s="61" t="s">
        <v>72</v>
      </c>
      <c r="O1" s="61" t="s">
        <v>73</v>
      </c>
      <c r="P1" s="61" t="s">
        <v>74</v>
      </c>
      <c r="Q1" s="61" t="s">
        <v>75</v>
      </c>
      <c r="R1" s="46" t="s">
        <v>76</v>
      </c>
      <c r="S1" s="46" t="s">
        <v>79</v>
      </c>
      <c r="T1" s="46" t="s">
        <v>80</v>
      </c>
      <c r="U1" s="46" t="s">
        <v>77</v>
      </c>
      <c r="V1" s="56" t="s">
        <v>85</v>
      </c>
      <c r="W1" s="56" t="s">
        <v>81</v>
      </c>
      <c r="X1" s="56" t="s">
        <v>82</v>
      </c>
      <c r="Y1" s="62" t="s">
        <v>47</v>
      </c>
      <c r="Z1" s="62" t="s">
        <v>48</v>
      </c>
      <c r="AA1" s="62" t="s">
        <v>49</v>
      </c>
      <c r="AB1" s="62" t="s">
        <v>50</v>
      </c>
      <c r="AC1" s="62" t="s">
        <v>51</v>
      </c>
      <c r="AD1" s="62" t="s">
        <v>78</v>
      </c>
      <c r="AE1" s="56" t="s">
        <v>86</v>
      </c>
      <c r="AF1" s="66" t="s">
        <v>140</v>
      </c>
      <c r="AG1" s="66" t="s">
        <v>141</v>
      </c>
      <c r="AH1" s="66" t="s">
        <v>142</v>
      </c>
      <c r="AI1" s="66" t="s">
        <v>196</v>
      </c>
      <c r="AJ1" s="66" t="s">
        <v>143</v>
      </c>
      <c r="AK1" s="169" t="s">
        <v>65</v>
      </c>
      <c r="AL1" s="56" t="s">
        <v>145</v>
      </c>
      <c r="AM1" s="66" t="s">
        <v>66</v>
      </c>
      <c r="AN1" s="66" t="s">
        <v>67</v>
      </c>
      <c r="AO1" s="66" t="s">
        <v>68</v>
      </c>
      <c r="AP1" s="66" t="s">
        <v>69</v>
      </c>
      <c r="AQ1" s="66" t="s">
        <v>70</v>
      </c>
      <c r="AR1" s="169" t="s">
        <v>71</v>
      </c>
      <c r="AS1" s="169" t="s">
        <v>72</v>
      </c>
      <c r="AT1" s="56" t="s">
        <v>225</v>
      </c>
    </row>
    <row r="2" spans="1:46" ht="14.5" x14ac:dyDescent="0.35">
      <c r="A2" s="48">
        <v>1</v>
      </c>
      <c r="B2" s="48" t="s">
        <v>4</v>
      </c>
      <c r="C2" s="49" t="s">
        <v>5</v>
      </c>
      <c r="D2" s="57" t="s">
        <v>7</v>
      </c>
      <c r="E2" s="73" t="s">
        <v>139</v>
      </c>
      <c r="F2" s="72" t="s">
        <v>116</v>
      </c>
      <c r="G2" s="63"/>
      <c r="H2" s="63"/>
      <c r="I2" s="63"/>
      <c r="J2" s="63"/>
      <c r="K2" s="63"/>
      <c r="L2" s="63"/>
      <c r="M2" s="63"/>
      <c r="N2" s="63"/>
      <c r="O2" s="63"/>
      <c r="P2" s="63"/>
      <c r="Q2" s="63"/>
      <c r="R2" s="63"/>
      <c r="S2" s="63">
        <v>4.666666666666667</v>
      </c>
      <c r="T2" s="63">
        <v>3.6666666666666665</v>
      </c>
      <c r="U2" s="63">
        <v>6.5</v>
      </c>
      <c r="V2" s="63">
        <f t="shared" ref="V2:V25" si="0">AVERAGE(G2:U2)</f>
        <v>4.9444444444444446</v>
      </c>
      <c r="W2" s="63"/>
      <c r="X2" s="63">
        <f t="shared" ref="X2:X25" si="1">AVERAGE(O2:U2)</f>
        <v>4.9444444444444446</v>
      </c>
      <c r="Y2" s="64">
        <v>3.25</v>
      </c>
      <c r="Z2" s="64">
        <v>6.75</v>
      </c>
      <c r="AA2" s="64">
        <v>8.25</v>
      </c>
      <c r="AB2" s="64">
        <v>5.5</v>
      </c>
      <c r="AC2" s="64">
        <v>3</v>
      </c>
      <c r="AD2" s="64">
        <v>10.5</v>
      </c>
      <c r="AE2" s="64">
        <f>AVERAGE(Y2:AD2)</f>
        <v>6.208333333333333</v>
      </c>
      <c r="AF2" s="136">
        <v>7.25</v>
      </c>
      <c r="AG2" s="136">
        <v>5.75</v>
      </c>
      <c r="AH2" s="136">
        <v>5.6</v>
      </c>
      <c r="AI2" s="136">
        <v>5.2</v>
      </c>
      <c r="AJ2" s="136">
        <v>6.75</v>
      </c>
      <c r="AK2" s="165">
        <v>8</v>
      </c>
      <c r="AL2" s="137">
        <f t="shared" ref="AL2:AL9" si="2">AVERAGE(AF2:AK2)</f>
        <v>6.4249999999999998</v>
      </c>
      <c r="AM2" s="136">
        <v>8</v>
      </c>
      <c r="AN2" s="136">
        <v>7.25</v>
      </c>
      <c r="AO2" s="136">
        <v>0</v>
      </c>
      <c r="AP2" s="136"/>
      <c r="AQ2" s="136"/>
      <c r="AR2" s="165"/>
      <c r="AS2" s="165"/>
      <c r="AT2" s="137">
        <f t="shared" ref="AT2:AT7" si="3">AVERAGE(AM2:AR2)</f>
        <v>5.083333333333333</v>
      </c>
    </row>
    <row r="3" spans="1:46" ht="14.5" x14ac:dyDescent="0.35">
      <c r="A3" s="43">
        <v>2</v>
      </c>
      <c r="B3" s="43" t="s">
        <v>4</v>
      </c>
      <c r="C3" s="49" t="s">
        <v>5</v>
      </c>
      <c r="D3" s="57" t="s">
        <v>7</v>
      </c>
      <c r="E3" s="73" t="s">
        <v>42</v>
      </c>
      <c r="F3" s="72" t="s">
        <v>116</v>
      </c>
      <c r="G3" s="63">
        <v>9.5714285714285712</v>
      </c>
      <c r="H3" s="63">
        <v>10.571428571428571</v>
      </c>
      <c r="I3" s="63">
        <v>12</v>
      </c>
      <c r="J3" s="63">
        <v>8.8000000000000007</v>
      </c>
      <c r="K3" s="63">
        <v>8.9090909090909083</v>
      </c>
      <c r="L3" s="63">
        <v>9.8181818181818183</v>
      </c>
      <c r="M3" s="63">
        <v>9</v>
      </c>
      <c r="N3" s="63">
        <v>9.3333333333333339</v>
      </c>
      <c r="O3" s="63">
        <v>9.0769230769230766</v>
      </c>
      <c r="P3" s="63">
        <v>8.1538461538461533</v>
      </c>
      <c r="Q3" s="63">
        <v>8</v>
      </c>
      <c r="R3" s="63">
        <v>10.30769231</v>
      </c>
      <c r="S3" s="63">
        <v>10.62</v>
      </c>
      <c r="T3" s="63">
        <v>8.4600000000000009</v>
      </c>
      <c r="U3" s="63">
        <v>3.7</v>
      </c>
      <c r="V3" s="63">
        <f t="shared" si="0"/>
        <v>9.0881283162821624</v>
      </c>
      <c r="W3" s="63">
        <f t="shared" ref="W3:W18" si="4">AVERAGE(I3:N3)</f>
        <v>9.643434343434345</v>
      </c>
      <c r="X3" s="63">
        <f t="shared" ref="X3:X18" si="5">AVERAGE(O3:U3)</f>
        <v>8.3312087915384616</v>
      </c>
      <c r="Y3" s="64">
        <v>7.82</v>
      </c>
      <c r="Z3" s="64">
        <v>7.27</v>
      </c>
      <c r="AA3" s="64">
        <v>9.1999999999999993</v>
      </c>
      <c r="AB3" s="64">
        <v>10.4</v>
      </c>
      <c r="AC3" s="64">
        <v>9.8000000000000007</v>
      </c>
      <c r="AD3" s="64">
        <v>9.4</v>
      </c>
      <c r="AE3" s="64">
        <f t="shared" ref="AE3:AE25" si="6">AVERAGE(Y3:AD3)</f>
        <v>8.9816666666666656</v>
      </c>
      <c r="AF3" s="137">
        <v>10</v>
      </c>
      <c r="AG3" s="137">
        <v>10.6</v>
      </c>
      <c r="AH3" s="137">
        <v>10.6</v>
      </c>
      <c r="AI3" s="137">
        <v>10.4</v>
      </c>
      <c r="AJ3" s="137">
        <v>10.6</v>
      </c>
      <c r="AK3" s="166">
        <v>11.8</v>
      </c>
      <c r="AL3" s="137">
        <f t="shared" si="2"/>
        <v>10.666666666666666</v>
      </c>
      <c r="AM3" s="137">
        <v>10.8</v>
      </c>
      <c r="AN3" s="137">
        <v>13.8</v>
      </c>
      <c r="AO3" s="137">
        <v>10.199999999999999</v>
      </c>
      <c r="AP3" s="137"/>
      <c r="AQ3" s="137"/>
      <c r="AR3" s="166"/>
      <c r="AS3" s="166"/>
      <c r="AT3" s="137">
        <f t="shared" si="3"/>
        <v>11.6</v>
      </c>
    </row>
    <row r="4" spans="1:46" ht="14.5" x14ac:dyDescent="0.35">
      <c r="A4" s="48">
        <v>3</v>
      </c>
      <c r="B4" s="43" t="s">
        <v>4</v>
      </c>
      <c r="C4" s="49" t="s">
        <v>5</v>
      </c>
      <c r="D4" s="57" t="s">
        <v>9</v>
      </c>
      <c r="E4" s="72" t="s">
        <v>10</v>
      </c>
      <c r="F4" s="72" t="s">
        <v>116</v>
      </c>
      <c r="G4" s="63">
        <v>3.1111111111111112</v>
      </c>
      <c r="H4" s="63">
        <v>3.5555555555555554</v>
      </c>
      <c r="I4" s="63">
        <v>2.2222222222222223</v>
      </c>
      <c r="J4" s="63">
        <v>2.8888888888888888</v>
      </c>
      <c r="K4" s="63">
        <v>3.3333333333333335</v>
      </c>
      <c r="L4" s="63">
        <v>3</v>
      </c>
      <c r="M4" s="63">
        <v>2.4</v>
      </c>
      <c r="N4" s="63">
        <v>4.3</v>
      </c>
      <c r="O4" s="63">
        <v>3.9</v>
      </c>
      <c r="P4" s="63">
        <v>5</v>
      </c>
      <c r="Q4" s="63">
        <v>4</v>
      </c>
      <c r="R4" s="63">
        <v>3.5555555999999999</v>
      </c>
      <c r="S4" s="63">
        <v>4.0599999999999996</v>
      </c>
      <c r="T4" s="63">
        <v>3.94</v>
      </c>
      <c r="U4" s="63">
        <v>5.1111111111111107</v>
      </c>
      <c r="V4" s="63">
        <f t="shared" si="0"/>
        <v>3.6251851881481474</v>
      </c>
      <c r="W4" s="63">
        <f t="shared" si="4"/>
        <v>3.0240740740740741</v>
      </c>
      <c r="X4" s="63">
        <f t="shared" si="5"/>
        <v>4.2238095301587304</v>
      </c>
      <c r="Y4" s="64">
        <v>3</v>
      </c>
      <c r="Z4" s="64">
        <v>4.33</v>
      </c>
      <c r="AA4" s="64">
        <v>4</v>
      </c>
      <c r="AB4" s="64">
        <v>4.33</v>
      </c>
      <c r="AC4" s="64">
        <v>4.22</v>
      </c>
      <c r="AD4" s="64">
        <v>3.56</v>
      </c>
      <c r="AE4" s="64">
        <f t="shared" si="6"/>
        <v>3.9066666666666663</v>
      </c>
      <c r="AF4" s="137">
        <v>4.1111111111111107</v>
      </c>
      <c r="AG4" s="137">
        <v>3.7777777777777777</v>
      </c>
      <c r="AH4" s="137">
        <v>4.1100000000000003</v>
      </c>
      <c r="AI4" s="137">
        <v>4.8888888890000004</v>
      </c>
      <c r="AJ4" s="137">
        <v>5.33</v>
      </c>
      <c r="AK4" s="166">
        <v>5.3888888888888893</v>
      </c>
      <c r="AL4" s="137">
        <f t="shared" si="2"/>
        <v>4.6011111111296303</v>
      </c>
      <c r="AM4" s="137">
        <v>5</v>
      </c>
      <c r="AN4" s="137">
        <v>5.56</v>
      </c>
      <c r="AO4" s="137">
        <v>5.6666666670000003</v>
      </c>
      <c r="AP4" s="137"/>
      <c r="AQ4" s="137"/>
      <c r="AR4" s="166"/>
      <c r="AS4" s="166"/>
      <c r="AT4" s="137">
        <f t="shared" si="3"/>
        <v>5.408888889</v>
      </c>
    </row>
    <row r="5" spans="1:46" ht="14.5" x14ac:dyDescent="0.35">
      <c r="A5" s="43">
        <v>4</v>
      </c>
      <c r="B5" s="43" t="s">
        <v>4</v>
      </c>
      <c r="C5" s="49" t="s">
        <v>5</v>
      </c>
      <c r="D5" s="57" t="s">
        <v>9</v>
      </c>
      <c r="E5" s="80" t="s">
        <v>12</v>
      </c>
      <c r="F5" s="72" t="s">
        <v>116</v>
      </c>
      <c r="G5" s="63">
        <v>4.25</v>
      </c>
      <c r="H5" s="63">
        <v>4</v>
      </c>
      <c r="I5" s="63">
        <v>5.25</v>
      </c>
      <c r="J5" s="63">
        <v>5</v>
      </c>
      <c r="K5" s="63">
        <v>4.25</v>
      </c>
      <c r="L5" s="63">
        <v>4</v>
      </c>
      <c r="M5" s="63">
        <v>3.25</v>
      </c>
      <c r="N5" s="63">
        <v>4.75</v>
      </c>
      <c r="O5" s="63">
        <v>4.3</v>
      </c>
      <c r="P5" s="63">
        <v>4</v>
      </c>
      <c r="Q5" s="63">
        <v>3.5</v>
      </c>
      <c r="R5" s="63">
        <v>5</v>
      </c>
      <c r="S5" s="63">
        <v>4.5</v>
      </c>
      <c r="T5" s="63">
        <v>4.25</v>
      </c>
      <c r="U5" s="63">
        <v>4</v>
      </c>
      <c r="V5" s="63">
        <f t="shared" si="0"/>
        <v>4.2866666666666662</v>
      </c>
      <c r="W5" s="63">
        <f t="shared" si="4"/>
        <v>4.416666666666667</v>
      </c>
      <c r="X5" s="63">
        <f t="shared" si="5"/>
        <v>4.2214285714285715</v>
      </c>
      <c r="Y5" s="64">
        <v>3.25</v>
      </c>
      <c r="Z5" s="64">
        <v>4.25</v>
      </c>
      <c r="AA5" s="64">
        <v>4.75</v>
      </c>
      <c r="AB5" s="64">
        <v>5</v>
      </c>
      <c r="AC5" s="64">
        <v>6</v>
      </c>
      <c r="AD5" s="64">
        <v>3.25</v>
      </c>
      <c r="AE5" s="64">
        <f t="shared" si="6"/>
        <v>4.416666666666667</v>
      </c>
      <c r="AF5" s="137">
        <v>4.25</v>
      </c>
      <c r="AG5" s="137">
        <v>4</v>
      </c>
      <c r="AH5" s="137">
        <v>4.5</v>
      </c>
      <c r="AI5" s="137">
        <v>5</v>
      </c>
      <c r="AJ5" s="137">
        <v>4</v>
      </c>
      <c r="AK5" s="167">
        <v>4</v>
      </c>
      <c r="AL5" s="137">
        <f t="shared" si="2"/>
        <v>4.291666666666667</v>
      </c>
      <c r="AM5" s="137">
        <v>3.25</v>
      </c>
      <c r="AN5" s="137">
        <v>5</v>
      </c>
      <c r="AO5" s="137">
        <v>5.25</v>
      </c>
      <c r="AP5" s="137"/>
      <c r="AQ5" s="137"/>
      <c r="AR5" s="167"/>
      <c r="AS5" s="167"/>
      <c r="AT5" s="137">
        <f t="shared" si="3"/>
        <v>4.5</v>
      </c>
    </row>
    <row r="6" spans="1:46" ht="14.5" x14ac:dyDescent="0.35">
      <c r="A6" s="48">
        <v>5</v>
      </c>
      <c r="B6" s="45" t="s">
        <v>4</v>
      </c>
      <c r="C6" s="49" t="s">
        <v>5</v>
      </c>
      <c r="D6" s="57" t="s">
        <v>9</v>
      </c>
      <c r="E6" s="72" t="s">
        <v>14</v>
      </c>
      <c r="F6" s="72" t="s">
        <v>116</v>
      </c>
      <c r="G6" s="63">
        <v>7.833333333333333</v>
      </c>
      <c r="H6" s="63">
        <v>7.166666666666667</v>
      </c>
      <c r="I6" s="63">
        <v>10</v>
      </c>
      <c r="J6" s="63">
        <v>12.5</v>
      </c>
      <c r="K6" s="63">
        <v>13.333333333333334</v>
      </c>
      <c r="L6" s="63">
        <v>7.833333333333333</v>
      </c>
      <c r="M6" s="63">
        <v>13.666666666666666</v>
      </c>
      <c r="N6" s="63">
        <v>11.166666666666666</v>
      </c>
      <c r="O6" s="63">
        <v>11.2</v>
      </c>
      <c r="P6" s="63">
        <v>11.4</v>
      </c>
      <c r="Q6" s="63">
        <v>10.8</v>
      </c>
      <c r="R6" s="63">
        <v>10</v>
      </c>
      <c r="S6" s="63">
        <v>12</v>
      </c>
      <c r="T6" s="63">
        <v>11</v>
      </c>
      <c r="U6" s="63">
        <v>7.2</v>
      </c>
      <c r="V6" s="63">
        <f t="shared" si="0"/>
        <v>10.473333333333334</v>
      </c>
      <c r="W6" s="63">
        <f t="shared" si="4"/>
        <v>11.416666666666666</v>
      </c>
      <c r="X6" s="63">
        <f t="shared" si="5"/>
        <v>10.514285714285716</v>
      </c>
      <c r="Y6" s="64">
        <v>11.4</v>
      </c>
      <c r="Z6" s="64">
        <v>13</v>
      </c>
      <c r="AA6" s="64">
        <v>12.6</v>
      </c>
      <c r="AB6" s="64">
        <v>12</v>
      </c>
      <c r="AC6" s="64">
        <v>12.4</v>
      </c>
      <c r="AD6" s="64">
        <v>9.5714285714285712</v>
      </c>
      <c r="AE6" s="64">
        <f t="shared" si="6"/>
        <v>11.828571428571429</v>
      </c>
      <c r="AF6" s="137">
        <v>12.8</v>
      </c>
      <c r="AG6" s="137">
        <v>14.2</v>
      </c>
      <c r="AH6" s="137">
        <v>13.2</v>
      </c>
      <c r="AI6" s="137">
        <v>14</v>
      </c>
      <c r="AJ6" s="137">
        <v>12</v>
      </c>
      <c r="AK6" s="166">
        <v>12</v>
      </c>
      <c r="AL6" s="137">
        <f t="shared" si="2"/>
        <v>13.033333333333333</v>
      </c>
      <c r="AM6" s="137">
        <v>13.2</v>
      </c>
      <c r="AN6" s="137">
        <v>14</v>
      </c>
      <c r="AO6" s="137">
        <v>15</v>
      </c>
      <c r="AP6" s="137"/>
      <c r="AQ6" s="137"/>
      <c r="AR6" s="166"/>
      <c r="AS6" s="166"/>
      <c r="AT6" s="137">
        <f t="shared" si="3"/>
        <v>14.066666666666668</v>
      </c>
    </row>
    <row r="7" spans="1:46" ht="14.5" x14ac:dyDescent="0.35">
      <c r="A7" s="43">
        <v>6</v>
      </c>
      <c r="B7" s="45" t="s">
        <v>4</v>
      </c>
      <c r="C7" s="49" t="s">
        <v>5</v>
      </c>
      <c r="D7" s="57" t="s">
        <v>9</v>
      </c>
      <c r="E7" s="72" t="s">
        <v>16</v>
      </c>
      <c r="F7" s="72" t="s">
        <v>116</v>
      </c>
      <c r="G7" s="63">
        <v>7.6363636363636367</v>
      </c>
      <c r="H7" s="63">
        <v>6.9090909090909092</v>
      </c>
      <c r="I7" s="63">
        <v>7.333333333333333</v>
      </c>
      <c r="J7" s="63">
        <v>8.5</v>
      </c>
      <c r="K7" s="63">
        <v>8.1666666666666661</v>
      </c>
      <c r="L7" s="63">
        <v>8</v>
      </c>
      <c r="M7" s="63">
        <v>5.833333333333333</v>
      </c>
      <c r="N7" s="63">
        <v>8.3333333333333339</v>
      </c>
      <c r="O7" s="63">
        <v>8.2857142857142865</v>
      </c>
      <c r="P7" s="63">
        <v>7.9</v>
      </c>
      <c r="Q7" s="63">
        <v>8.2857142857142865</v>
      </c>
      <c r="R7" s="63">
        <v>7.1428571429999996</v>
      </c>
      <c r="S7" s="63">
        <v>7.43</v>
      </c>
      <c r="T7" s="63">
        <v>7.57</v>
      </c>
      <c r="U7" s="63">
        <v>9.3000000000000007</v>
      </c>
      <c r="V7" s="63">
        <f t="shared" si="0"/>
        <v>7.7750937951033192</v>
      </c>
      <c r="W7" s="63">
        <f t="shared" si="4"/>
        <v>7.6944444444444455</v>
      </c>
      <c r="X7" s="63">
        <f t="shared" si="5"/>
        <v>7.9877551020612243</v>
      </c>
      <c r="Y7" s="64">
        <v>9</v>
      </c>
      <c r="Z7" s="64">
        <v>8.2799999999999994</v>
      </c>
      <c r="AA7" s="64">
        <v>9.14</v>
      </c>
      <c r="AB7" s="64">
        <v>9.7100000000000009</v>
      </c>
      <c r="AC7" s="64">
        <v>8.86</v>
      </c>
      <c r="AD7" s="64">
        <v>8.25</v>
      </c>
      <c r="AE7" s="64">
        <f t="shared" si="6"/>
        <v>8.8733333333333331</v>
      </c>
      <c r="AF7" s="137">
        <v>9</v>
      </c>
      <c r="AG7" s="137">
        <v>9.2857142857142865</v>
      </c>
      <c r="AH7" s="137">
        <v>9.14</v>
      </c>
      <c r="AI7" s="137">
        <v>9.5714285710000002</v>
      </c>
      <c r="AJ7" s="137">
        <v>10.14</v>
      </c>
      <c r="AK7" s="166">
        <v>9.5714285714285712</v>
      </c>
      <c r="AL7" s="137">
        <f t="shared" si="2"/>
        <v>9.4514285713571429</v>
      </c>
      <c r="AM7" s="137">
        <v>10.57</v>
      </c>
      <c r="AN7" s="137">
        <v>9.86</v>
      </c>
      <c r="AO7" s="137">
        <v>10.14285714</v>
      </c>
      <c r="AP7" s="137"/>
      <c r="AQ7" s="137"/>
      <c r="AR7" s="166"/>
      <c r="AS7" s="166"/>
      <c r="AT7" s="137">
        <f t="shared" si="3"/>
        <v>10.190952380000001</v>
      </c>
    </row>
    <row r="8" spans="1:46" ht="14.5" x14ac:dyDescent="0.35">
      <c r="A8" s="48">
        <v>7</v>
      </c>
      <c r="B8" s="43" t="s">
        <v>4</v>
      </c>
      <c r="C8" s="49" t="s">
        <v>5</v>
      </c>
      <c r="D8" s="57" t="s">
        <v>9</v>
      </c>
      <c r="E8" s="72" t="s">
        <v>18</v>
      </c>
      <c r="F8" s="72" t="s">
        <v>116</v>
      </c>
      <c r="G8" s="63">
        <v>8.5</v>
      </c>
      <c r="H8" s="63">
        <v>9</v>
      </c>
      <c r="I8" s="63">
        <v>7.5</v>
      </c>
      <c r="J8" s="63">
        <v>8.5</v>
      </c>
      <c r="K8" s="63">
        <v>9</v>
      </c>
      <c r="L8" s="63">
        <v>9</v>
      </c>
      <c r="M8" s="63">
        <v>8.5</v>
      </c>
      <c r="N8" s="63">
        <v>13</v>
      </c>
      <c r="O8" s="63">
        <v>9</v>
      </c>
      <c r="P8" s="63">
        <v>7.5</v>
      </c>
      <c r="Q8" s="63">
        <v>6.5</v>
      </c>
      <c r="R8" s="63">
        <v>3.5</v>
      </c>
      <c r="S8" s="63">
        <v>6.5</v>
      </c>
      <c r="T8" s="63">
        <v>4</v>
      </c>
      <c r="U8" s="63">
        <v>6</v>
      </c>
      <c r="V8" s="63">
        <f t="shared" si="0"/>
        <v>7.7333333333333334</v>
      </c>
      <c r="W8" s="63">
        <f t="shared" si="4"/>
        <v>9.25</v>
      </c>
      <c r="X8" s="63">
        <f t="shared" si="5"/>
        <v>6.1428571428571432</v>
      </c>
      <c r="Y8" s="64">
        <v>3</v>
      </c>
      <c r="Z8" s="64">
        <v>4.5</v>
      </c>
      <c r="AA8" s="64">
        <v>2</v>
      </c>
      <c r="AB8" s="64">
        <v>2</v>
      </c>
      <c r="AC8" s="64">
        <v>7.33</v>
      </c>
      <c r="AD8" s="64">
        <v>6.666666666666667</v>
      </c>
      <c r="AE8" s="64">
        <f t="shared" si="6"/>
        <v>4.2494444444444444</v>
      </c>
      <c r="AF8" s="137">
        <v>11.5</v>
      </c>
      <c r="AG8" s="137">
        <v>12.5</v>
      </c>
      <c r="AH8" s="137">
        <v>5.5</v>
      </c>
      <c r="AI8" s="137">
        <v>10.5</v>
      </c>
      <c r="AJ8" s="137">
        <v>9.5</v>
      </c>
      <c r="AK8" s="166">
        <v>10.5</v>
      </c>
      <c r="AL8" s="137">
        <f>AVERAGE(AF8:AK8)</f>
        <v>10</v>
      </c>
      <c r="AM8" s="137">
        <v>11</v>
      </c>
      <c r="AN8" s="137">
        <v>9</v>
      </c>
      <c r="AO8" s="137">
        <v>10</v>
      </c>
      <c r="AP8" s="137"/>
      <c r="AQ8" s="137"/>
      <c r="AR8" s="166"/>
      <c r="AS8" s="166"/>
      <c r="AT8" s="137">
        <f>AVERAGE(AM8:AR8)</f>
        <v>10</v>
      </c>
    </row>
    <row r="9" spans="1:46" ht="14.5" x14ac:dyDescent="0.35">
      <c r="A9" s="43">
        <v>8</v>
      </c>
      <c r="B9" s="43" t="s">
        <v>4</v>
      </c>
      <c r="C9" s="49" t="s">
        <v>5</v>
      </c>
      <c r="D9" s="57" t="s">
        <v>7</v>
      </c>
      <c r="E9" s="94" t="s">
        <v>19</v>
      </c>
      <c r="F9" s="72" t="s">
        <v>116</v>
      </c>
      <c r="G9" s="63">
        <v>4.5</v>
      </c>
      <c r="H9" s="63">
        <v>5</v>
      </c>
      <c r="I9" s="63">
        <v>3</v>
      </c>
      <c r="J9" s="63">
        <v>9</v>
      </c>
      <c r="K9" s="63">
        <v>3.4285714285714284</v>
      </c>
      <c r="L9" s="63">
        <v>7.8571428571428568</v>
      </c>
      <c r="M9" s="63">
        <v>5</v>
      </c>
      <c r="N9" s="63">
        <v>8.1428571428571423</v>
      </c>
      <c r="O9" s="63">
        <v>8.375</v>
      </c>
      <c r="P9" s="63">
        <v>8.25</v>
      </c>
      <c r="Q9" s="63">
        <v>7.875</v>
      </c>
      <c r="R9" s="63">
        <v>9.75</v>
      </c>
      <c r="S9" s="63">
        <v>7.5</v>
      </c>
      <c r="T9" s="63">
        <v>4.87</v>
      </c>
      <c r="U9" s="63">
        <v>5.125</v>
      </c>
      <c r="V9" s="63">
        <f t="shared" si="0"/>
        <v>6.511571428571429</v>
      </c>
      <c r="W9" s="63">
        <f t="shared" si="4"/>
        <v>6.0714285714285721</v>
      </c>
      <c r="X9" s="63">
        <f t="shared" si="5"/>
        <v>7.3921428571428569</v>
      </c>
      <c r="Y9" s="64">
        <v>3.75</v>
      </c>
      <c r="Z9" s="64">
        <v>7.25</v>
      </c>
      <c r="AA9" s="64">
        <v>8.5</v>
      </c>
      <c r="AB9" s="64">
        <v>10.119999999999999</v>
      </c>
      <c r="AC9" s="64">
        <v>7.38</v>
      </c>
      <c r="AD9" s="64">
        <v>7.625</v>
      </c>
      <c r="AE9" s="64">
        <f t="shared" si="6"/>
        <v>7.4375</v>
      </c>
      <c r="AF9" s="137">
        <v>7.25</v>
      </c>
      <c r="AG9" s="137">
        <v>5.125</v>
      </c>
      <c r="AH9" s="137">
        <v>6.38</v>
      </c>
      <c r="AI9" s="137">
        <v>5.125</v>
      </c>
      <c r="AJ9" s="137">
        <v>4.88</v>
      </c>
      <c r="AK9" s="166">
        <v>6.125</v>
      </c>
      <c r="AL9" s="137">
        <f t="shared" si="2"/>
        <v>5.814166666666666</v>
      </c>
      <c r="AM9" s="137">
        <v>5.13</v>
      </c>
      <c r="AN9" s="137">
        <v>5.88</v>
      </c>
      <c r="AO9" s="137">
        <v>4.875</v>
      </c>
      <c r="AP9" s="137"/>
      <c r="AQ9" s="137"/>
      <c r="AR9" s="166"/>
      <c r="AS9" s="166"/>
      <c r="AT9" s="137">
        <f t="shared" ref="AT9" si="7">AVERAGE(AM9:AR9)</f>
        <v>5.2949999999999999</v>
      </c>
    </row>
    <row r="10" spans="1:46" ht="14.5" x14ac:dyDescent="0.35">
      <c r="A10" s="48">
        <v>9</v>
      </c>
      <c r="B10" s="43" t="s">
        <v>4</v>
      </c>
      <c r="C10" s="49" t="s">
        <v>5</v>
      </c>
      <c r="D10" s="57" t="s">
        <v>7</v>
      </c>
      <c r="E10" s="94" t="s">
        <v>63</v>
      </c>
      <c r="F10" s="72" t="s">
        <v>43</v>
      </c>
      <c r="G10" s="63">
        <v>7.8571428571428568</v>
      </c>
      <c r="H10" s="63">
        <v>7.1428571428571432</v>
      </c>
      <c r="I10" s="63">
        <v>6.375</v>
      </c>
      <c r="J10" s="63">
        <v>5.375</v>
      </c>
      <c r="K10" s="63">
        <v>5.625</v>
      </c>
      <c r="L10" s="63">
        <v>5.5</v>
      </c>
      <c r="M10" s="63">
        <v>4.3076923076923075</v>
      </c>
      <c r="N10" s="63">
        <v>5.8461538461538458</v>
      </c>
      <c r="O10" s="63">
        <v>6.9230769230769234</v>
      </c>
      <c r="P10" s="63">
        <v>8</v>
      </c>
      <c r="Q10" s="63">
        <v>9.0769230769230766</v>
      </c>
      <c r="R10" s="63">
        <v>8.461538462</v>
      </c>
      <c r="S10" s="63">
        <v>7.85</v>
      </c>
      <c r="T10" s="63">
        <v>7.69</v>
      </c>
      <c r="U10" s="63">
        <v>6.9230769230769234</v>
      </c>
      <c r="V10" s="63">
        <f t="shared" si="0"/>
        <v>6.8635641025948706</v>
      </c>
      <c r="W10" s="63">
        <f t="shared" si="4"/>
        <v>5.5048076923076925</v>
      </c>
      <c r="X10" s="63">
        <f t="shared" si="5"/>
        <v>7.8463736264395596</v>
      </c>
      <c r="Y10" s="155"/>
      <c r="Z10" s="155"/>
      <c r="AA10" s="155"/>
      <c r="AB10" s="155"/>
      <c r="AC10" s="155"/>
      <c r="AD10" s="155"/>
      <c r="AE10" s="155"/>
      <c r="AF10" s="156"/>
      <c r="AG10" s="156"/>
      <c r="AH10" s="156"/>
      <c r="AI10" s="156"/>
      <c r="AJ10" s="156"/>
      <c r="AK10" s="168"/>
      <c r="AL10" s="156"/>
      <c r="AM10" s="156"/>
      <c r="AN10" s="156"/>
      <c r="AO10" s="156"/>
      <c r="AP10" s="156"/>
      <c r="AQ10" s="156"/>
      <c r="AR10" s="168"/>
      <c r="AS10" s="168"/>
      <c r="AT10" s="156"/>
    </row>
    <row r="11" spans="1:46" ht="14.5" x14ac:dyDescent="0.35">
      <c r="A11" s="43">
        <v>10</v>
      </c>
      <c r="B11" s="43" t="s">
        <v>4</v>
      </c>
      <c r="C11" s="49" t="s">
        <v>5</v>
      </c>
      <c r="D11" s="57" t="s">
        <v>7</v>
      </c>
      <c r="E11" s="94" t="s">
        <v>20</v>
      </c>
      <c r="F11" s="72" t="s">
        <v>116</v>
      </c>
      <c r="G11" s="63">
        <v>3.6</v>
      </c>
      <c r="H11" s="63">
        <v>5.2</v>
      </c>
      <c r="I11" s="63">
        <v>7.7333333333333334</v>
      </c>
      <c r="J11" s="63">
        <v>5.7333333333333334</v>
      </c>
      <c r="K11" s="63">
        <v>6</v>
      </c>
      <c r="L11" s="63">
        <v>6.2666666666666666</v>
      </c>
      <c r="M11" s="63">
        <v>6.2222222222222223</v>
      </c>
      <c r="N11" s="63">
        <v>4.8888888888888893</v>
      </c>
      <c r="O11" s="63">
        <v>6.2222222222222223</v>
      </c>
      <c r="P11" s="63">
        <v>7.1111111111111107</v>
      </c>
      <c r="Q11" s="63">
        <v>8.6666666666666661</v>
      </c>
      <c r="R11" s="63">
        <v>10.444444000000001</v>
      </c>
      <c r="S11" s="63">
        <v>7.33</v>
      </c>
      <c r="T11" s="63">
        <v>6</v>
      </c>
      <c r="U11" s="63">
        <v>6.4444444444444446</v>
      </c>
      <c r="V11" s="63">
        <f t="shared" si="0"/>
        <v>6.5242221925925925</v>
      </c>
      <c r="W11" s="63">
        <f t="shared" si="4"/>
        <v>6.1407407407407417</v>
      </c>
      <c r="X11" s="63">
        <f t="shared" si="5"/>
        <v>7.4598412063492061</v>
      </c>
      <c r="Y11" s="64">
        <v>3.38</v>
      </c>
      <c r="Z11" s="64">
        <v>7.75</v>
      </c>
      <c r="AA11" s="64">
        <v>8.25</v>
      </c>
      <c r="AB11" s="64">
        <v>7.12</v>
      </c>
      <c r="AC11" s="64">
        <v>9.8800000000000008</v>
      </c>
      <c r="AD11" s="64">
        <v>9.375</v>
      </c>
      <c r="AE11" s="64">
        <f t="shared" si="6"/>
        <v>7.6258333333333335</v>
      </c>
      <c r="AF11" s="137">
        <v>7.375</v>
      </c>
      <c r="AG11" s="137">
        <v>8.25</v>
      </c>
      <c r="AH11" s="137">
        <v>8.75</v>
      </c>
      <c r="AI11" s="137">
        <v>9.375</v>
      </c>
      <c r="AJ11" s="137">
        <v>6.38</v>
      </c>
      <c r="AK11" s="166">
        <v>4.75</v>
      </c>
      <c r="AL11" s="137">
        <f t="shared" ref="AL11:AL21" si="8">AVERAGE(AF11:AK11)</f>
        <v>7.48</v>
      </c>
      <c r="AM11" s="137">
        <v>5.25</v>
      </c>
      <c r="AN11" s="137">
        <v>5.38</v>
      </c>
      <c r="AO11" s="137">
        <v>5.5</v>
      </c>
      <c r="AP11" s="137"/>
      <c r="AQ11" s="137"/>
      <c r="AR11" s="166"/>
      <c r="AS11" s="166"/>
      <c r="AT11" s="137">
        <f t="shared" ref="AT11:AT21" si="9">AVERAGE(AM11:AR11)</f>
        <v>5.376666666666666</v>
      </c>
    </row>
    <row r="12" spans="1:46" ht="14.5" x14ac:dyDescent="0.35">
      <c r="A12" s="48">
        <v>11</v>
      </c>
      <c r="B12" s="43" t="s">
        <v>4</v>
      </c>
      <c r="C12" s="49" t="s">
        <v>5</v>
      </c>
      <c r="D12" s="57" t="s">
        <v>7</v>
      </c>
      <c r="E12" s="94" t="s">
        <v>21</v>
      </c>
      <c r="F12" s="72" t="s">
        <v>116</v>
      </c>
      <c r="G12" s="63">
        <v>1.6923076923076923</v>
      </c>
      <c r="H12" s="63">
        <v>6.3076923076923075</v>
      </c>
      <c r="I12" s="63">
        <v>3.0769230769230771</v>
      </c>
      <c r="J12" s="63">
        <v>2.4615384615384617</v>
      </c>
      <c r="K12" s="63">
        <v>6.4615384615384617</v>
      </c>
      <c r="L12" s="63">
        <v>3.3846153846153846</v>
      </c>
      <c r="M12" s="63">
        <v>4.4615384615384617</v>
      </c>
      <c r="N12" s="63">
        <v>5.5384615384615383</v>
      </c>
      <c r="O12" s="63">
        <v>7.0769230769230766</v>
      </c>
      <c r="P12" s="63">
        <v>6.3076923076923075</v>
      </c>
      <c r="Q12" s="63">
        <v>3.0769230769230771</v>
      </c>
      <c r="R12" s="63">
        <v>7.076923077</v>
      </c>
      <c r="S12" s="63">
        <v>5.69</v>
      </c>
      <c r="T12" s="63">
        <v>6.5</v>
      </c>
      <c r="U12" s="63">
        <v>4</v>
      </c>
      <c r="V12" s="63">
        <f t="shared" si="0"/>
        <v>4.8742051282102574</v>
      </c>
      <c r="W12" s="63">
        <f t="shared" si="4"/>
        <v>4.2307692307692308</v>
      </c>
      <c r="X12" s="63">
        <f t="shared" si="5"/>
        <v>5.6754945055054948</v>
      </c>
      <c r="Y12" s="64">
        <v>6.92</v>
      </c>
      <c r="Z12" s="64">
        <v>7.5</v>
      </c>
      <c r="AA12" s="64">
        <v>6.29</v>
      </c>
      <c r="AB12" s="64">
        <v>7.85</v>
      </c>
      <c r="AC12" s="64">
        <v>6.31</v>
      </c>
      <c r="AD12" s="64">
        <v>7.2307692307692308</v>
      </c>
      <c r="AE12" s="64">
        <f t="shared" si="6"/>
        <v>7.0167948717948727</v>
      </c>
      <c r="AF12" s="137">
        <v>5.8461538461538458</v>
      </c>
      <c r="AG12" s="137">
        <v>5.8461538461538458</v>
      </c>
      <c r="AH12" s="137">
        <v>5.69</v>
      </c>
      <c r="AI12" s="137">
        <v>9.08</v>
      </c>
      <c r="AJ12" s="137">
        <v>8.17</v>
      </c>
      <c r="AK12" s="166">
        <v>9</v>
      </c>
      <c r="AL12" s="137">
        <f t="shared" si="8"/>
        <v>7.2720512820512822</v>
      </c>
      <c r="AM12" s="137">
        <v>5.82</v>
      </c>
      <c r="AN12" s="137">
        <v>9</v>
      </c>
      <c r="AO12" s="137">
        <v>8.73</v>
      </c>
      <c r="AP12" s="137"/>
      <c r="AQ12" s="137"/>
      <c r="AR12" s="166"/>
      <c r="AS12" s="166"/>
      <c r="AT12" s="137">
        <f t="shared" si="9"/>
        <v>7.8500000000000005</v>
      </c>
    </row>
    <row r="13" spans="1:46" ht="14.5" x14ac:dyDescent="0.35">
      <c r="A13" s="43">
        <v>12</v>
      </c>
      <c r="B13" s="43" t="s">
        <v>4</v>
      </c>
      <c r="C13" s="49" t="s">
        <v>5</v>
      </c>
      <c r="D13" s="57" t="s">
        <v>7</v>
      </c>
      <c r="E13" s="94" t="s">
        <v>22</v>
      </c>
      <c r="F13" s="72" t="s">
        <v>116</v>
      </c>
      <c r="G13" s="63">
        <v>3.6923076923076925</v>
      </c>
      <c r="H13" s="63">
        <v>10.307692307692308</v>
      </c>
      <c r="I13" s="63">
        <v>5.333333333333333</v>
      </c>
      <c r="J13" s="63">
        <v>1.8666666666666667</v>
      </c>
      <c r="K13" s="63">
        <v>3.3333333333333335</v>
      </c>
      <c r="L13" s="63">
        <v>3.3333333333333335</v>
      </c>
      <c r="M13" s="63">
        <v>4.2666666666666666</v>
      </c>
      <c r="N13" s="63">
        <v>4.666666666666667</v>
      </c>
      <c r="O13" s="63">
        <v>5.2</v>
      </c>
      <c r="P13" s="63">
        <v>2.8</v>
      </c>
      <c r="Q13" s="63">
        <v>3.8666666666666667</v>
      </c>
      <c r="R13" s="63">
        <v>5.0666666669999998</v>
      </c>
      <c r="S13" s="63">
        <v>4.26</v>
      </c>
      <c r="T13" s="63">
        <v>4.5</v>
      </c>
      <c r="U13" s="63">
        <v>3.8666666666666667</v>
      </c>
      <c r="V13" s="63">
        <f t="shared" si="0"/>
        <v>4.4240000000222217</v>
      </c>
      <c r="W13" s="63">
        <f t="shared" si="4"/>
        <v>3.8000000000000003</v>
      </c>
      <c r="X13" s="63">
        <f t="shared" si="5"/>
        <v>4.2228571429047621</v>
      </c>
      <c r="Y13" s="64">
        <v>6.13</v>
      </c>
      <c r="Z13" s="135">
        <v>4.9000000000000004</v>
      </c>
      <c r="AA13" s="135">
        <v>6</v>
      </c>
      <c r="AB13" s="135">
        <v>7.83</v>
      </c>
      <c r="AC13" s="135">
        <v>4.33</v>
      </c>
      <c r="AD13" s="135">
        <v>7.833333333333333</v>
      </c>
      <c r="AE13" s="64">
        <f t="shared" si="6"/>
        <v>6.1705555555555556</v>
      </c>
      <c r="AF13" s="137">
        <v>6.833333333333333</v>
      </c>
      <c r="AG13" s="137">
        <v>6.083333333333333</v>
      </c>
      <c r="AH13" s="137">
        <v>4.46</v>
      </c>
      <c r="AI13" s="137">
        <v>7.846153846</v>
      </c>
      <c r="AJ13" s="137">
        <v>7.8571428571428568</v>
      </c>
      <c r="AK13" s="166">
        <v>6.5714285714285712</v>
      </c>
      <c r="AL13" s="137">
        <f t="shared" si="8"/>
        <v>6.6085653235396817</v>
      </c>
      <c r="AM13" s="156"/>
      <c r="AN13" s="156"/>
      <c r="AO13" s="156"/>
      <c r="AP13" s="156"/>
      <c r="AQ13" s="156"/>
      <c r="AR13" s="166"/>
      <c r="AS13" s="166"/>
      <c r="AT13" s="137"/>
    </row>
    <row r="14" spans="1:46" ht="14.5" x14ac:dyDescent="0.35">
      <c r="A14" s="48">
        <v>13</v>
      </c>
      <c r="B14" s="43" t="s">
        <v>4</v>
      </c>
      <c r="C14" s="44" t="s">
        <v>23</v>
      </c>
      <c r="D14" s="58" t="s">
        <v>11</v>
      </c>
      <c r="E14" s="100" t="s">
        <v>24</v>
      </c>
      <c r="F14" s="72" t="s">
        <v>116</v>
      </c>
      <c r="G14" s="65">
        <v>9.5348837209302317</v>
      </c>
      <c r="H14" s="65">
        <v>6.7441860465116266</v>
      </c>
      <c r="I14" s="65">
        <v>8.117647058823529</v>
      </c>
      <c r="J14" s="65">
        <v>7.8</v>
      </c>
      <c r="K14" s="65">
        <v>8.9</v>
      </c>
      <c r="L14" s="65">
        <v>8.3000000000000007</v>
      </c>
      <c r="M14" s="65">
        <v>8.1999999999999993</v>
      </c>
      <c r="N14" s="65">
        <v>10.8</v>
      </c>
      <c r="O14" s="65">
        <v>5.9</v>
      </c>
      <c r="P14" s="65">
        <v>9.1</v>
      </c>
      <c r="Q14" s="65">
        <v>6.6</v>
      </c>
      <c r="R14" s="64">
        <v>7.4116999999999997</v>
      </c>
      <c r="S14" s="64">
        <v>8</v>
      </c>
      <c r="T14" s="64">
        <v>6.9</v>
      </c>
      <c r="U14" s="64">
        <v>6.3529411764705879</v>
      </c>
      <c r="V14" s="63">
        <f t="shared" si="0"/>
        <v>7.9107572001823989</v>
      </c>
      <c r="W14" s="63">
        <f t="shared" si="4"/>
        <v>8.6862745098039227</v>
      </c>
      <c r="X14" s="63">
        <f t="shared" si="5"/>
        <v>7.1806630252100847</v>
      </c>
      <c r="Y14" s="64">
        <v>7.41</v>
      </c>
      <c r="Z14" s="64">
        <v>5.0999999999999996</v>
      </c>
      <c r="AA14" s="64">
        <v>11.1</v>
      </c>
      <c r="AB14" s="64">
        <v>9.6999999999999993</v>
      </c>
      <c r="AC14" s="64">
        <v>7.29</v>
      </c>
      <c r="AD14" s="64">
        <v>6</v>
      </c>
      <c r="AE14" s="64">
        <f t="shared" si="6"/>
        <v>7.7666666666666666</v>
      </c>
      <c r="AF14" s="137">
        <v>7.8</v>
      </c>
      <c r="AG14" s="137">
        <v>9.6</v>
      </c>
      <c r="AH14" s="137">
        <v>7.4</v>
      </c>
      <c r="AI14" s="137">
        <v>13.4</v>
      </c>
      <c r="AJ14" s="137">
        <v>5</v>
      </c>
      <c r="AK14" s="166">
        <v>7.333333333333333</v>
      </c>
      <c r="AL14" s="137">
        <f t="shared" si="8"/>
        <v>8.4222222222222225</v>
      </c>
      <c r="AM14" s="137">
        <v>5.83</v>
      </c>
      <c r="AN14" s="137">
        <v>8.5</v>
      </c>
      <c r="AO14" s="137">
        <v>10</v>
      </c>
      <c r="AP14" s="137"/>
      <c r="AQ14" s="137"/>
      <c r="AR14" s="166"/>
      <c r="AS14" s="166"/>
      <c r="AT14" s="137">
        <f t="shared" si="9"/>
        <v>8.11</v>
      </c>
    </row>
    <row r="15" spans="1:46" ht="14.5" x14ac:dyDescent="0.35">
      <c r="A15" s="43">
        <v>14</v>
      </c>
      <c r="B15" s="43" t="s">
        <v>4</v>
      </c>
      <c r="C15" s="44" t="s">
        <v>23</v>
      </c>
      <c r="D15" s="58" t="s">
        <v>11</v>
      </c>
      <c r="E15" s="100" t="s">
        <v>25</v>
      </c>
      <c r="F15" s="72" t="s">
        <v>116</v>
      </c>
      <c r="G15" s="64"/>
      <c r="H15" s="64"/>
      <c r="I15" s="64"/>
      <c r="J15" s="65">
        <v>6.6</v>
      </c>
      <c r="K15" s="65">
        <v>4.9000000000000004</v>
      </c>
      <c r="L15" s="65">
        <v>5.7</v>
      </c>
      <c r="M15" s="65">
        <v>4</v>
      </c>
      <c r="N15" s="65">
        <v>5.7</v>
      </c>
      <c r="O15" s="65">
        <v>7.7</v>
      </c>
      <c r="P15" s="65">
        <v>5.7</v>
      </c>
      <c r="Q15" s="65">
        <v>2.9</v>
      </c>
      <c r="R15" s="64">
        <v>4.5713999999999997</v>
      </c>
      <c r="S15" s="64">
        <v>6</v>
      </c>
      <c r="T15" s="64">
        <v>3.3</v>
      </c>
      <c r="U15" s="64">
        <v>8</v>
      </c>
      <c r="V15" s="63">
        <f t="shared" si="0"/>
        <v>5.4226166666666664</v>
      </c>
      <c r="W15" s="63">
        <f t="shared" si="4"/>
        <v>5.38</v>
      </c>
      <c r="X15" s="63">
        <f t="shared" si="5"/>
        <v>5.4530571428571433</v>
      </c>
      <c r="Y15" s="64">
        <v>2</v>
      </c>
      <c r="Z15" s="64">
        <v>5.3</v>
      </c>
      <c r="AA15" s="64">
        <v>5.3</v>
      </c>
      <c r="AB15" s="64">
        <v>7</v>
      </c>
      <c r="AC15" s="64">
        <v>6.29</v>
      </c>
      <c r="AD15" s="64">
        <v>4.8571428571428568</v>
      </c>
      <c r="AE15" s="64">
        <f t="shared" si="6"/>
        <v>5.1245238095238097</v>
      </c>
      <c r="AF15" s="137">
        <v>9.1999999999999993</v>
      </c>
      <c r="AG15" s="137">
        <v>8.4</v>
      </c>
      <c r="AH15" s="137">
        <v>5.33</v>
      </c>
      <c r="AI15" s="137">
        <v>8</v>
      </c>
      <c r="AJ15" s="137">
        <v>6.8</v>
      </c>
      <c r="AK15" s="166">
        <v>10.8</v>
      </c>
      <c r="AL15" s="137">
        <f t="shared" si="8"/>
        <v>8.0883333333333329</v>
      </c>
      <c r="AM15" s="137">
        <v>10</v>
      </c>
      <c r="AN15" s="137">
        <v>8.6999999999999993</v>
      </c>
      <c r="AO15" s="137">
        <v>8.4</v>
      </c>
      <c r="AP15" s="137"/>
      <c r="AQ15" s="137"/>
      <c r="AR15" s="166"/>
      <c r="AS15" s="166"/>
      <c r="AT15" s="137">
        <f t="shared" si="9"/>
        <v>9.0333333333333332</v>
      </c>
    </row>
    <row r="16" spans="1:46" ht="14.5" x14ac:dyDescent="0.35">
      <c r="A16" s="48">
        <v>15</v>
      </c>
      <c r="B16" s="43" t="s">
        <v>4</v>
      </c>
      <c r="C16" s="44" t="s">
        <v>23</v>
      </c>
      <c r="D16" s="58" t="s">
        <v>11</v>
      </c>
      <c r="E16" s="100" t="s">
        <v>26</v>
      </c>
      <c r="F16" s="72" t="s">
        <v>116</v>
      </c>
      <c r="G16" s="65">
        <v>9.4444444444444446</v>
      </c>
      <c r="H16" s="65">
        <v>11.944444444444445</v>
      </c>
      <c r="I16" s="65">
        <v>7.75</v>
      </c>
      <c r="J16" s="65">
        <v>9.5</v>
      </c>
      <c r="K16" s="65">
        <v>8.5</v>
      </c>
      <c r="L16" s="65">
        <v>8.25</v>
      </c>
      <c r="M16" s="65">
        <v>7</v>
      </c>
      <c r="N16" s="65">
        <v>9.5</v>
      </c>
      <c r="O16" s="65">
        <v>7</v>
      </c>
      <c r="P16" s="65">
        <v>10.75</v>
      </c>
      <c r="Q16" s="65">
        <v>7.8</v>
      </c>
      <c r="R16" s="64">
        <v>9</v>
      </c>
      <c r="S16" s="64">
        <v>13.65</v>
      </c>
      <c r="T16" s="64">
        <v>9</v>
      </c>
      <c r="U16" s="64">
        <v>3.75</v>
      </c>
      <c r="V16" s="63">
        <f t="shared" si="0"/>
        <v>8.8559259259259271</v>
      </c>
      <c r="W16" s="63">
        <f t="shared" si="4"/>
        <v>8.4166666666666661</v>
      </c>
      <c r="X16" s="63">
        <f t="shared" si="5"/>
        <v>8.7071428571428573</v>
      </c>
      <c r="Y16" s="64">
        <v>10</v>
      </c>
      <c r="Z16" s="64">
        <v>7</v>
      </c>
      <c r="AA16" s="64">
        <v>8.8000000000000007</v>
      </c>
      <c r="AB16" s="64">
        <v>5.8</v>
      </c>
      <c r="AC16" s="64">
        <v>8.25</v>
      </c>
      <c r="AD16" s="64">
        <v>4.5</v>
      </c>
      <c r="AE16" s="64">
        <f t="shared" si="6"/>
        <v>7.3916666666666666</v>
      </c>
      <c r="AF16" s="137">
        <v>8.5</v>
      </c>
      <c r="AG16" s="137">
        <v>6</v>
      </c>
      <c r="AH16" s="137">
        <v>5.5</v>
      </c>
      <c r="AI16" s="137">
        <v>4.5</v>
      </c>
      <c r="AJ16" s="137">
        <v>5.5</v>
      </c>
      <c r="AK16" s="166">
        <v>5.25</v>
      </c>
      <c r="AL16" s="137">
        <f t="shared" si="8"/>
        <v>5.875</v>
      </c>
      <c r="AM16" s="137">
        <v>5.5</v>
      </c>
      <c r="AN16" s="137"/>
      <c r="AO16" s="137"/>
      <c r="AP16" s="137"/>
      <c r="AQ16" s="137"/>
      <c r="AR16" s="166"/>
      <c r="AS16" s="166"/>
      <c r="AT16" s="137">
        <f t="shared" si="9"/>
        <v>5.5</v>
      </c>
    </row>
    <row r="17" spans="1:46" ht="14.5" x14ac:dyDescent="0.35">
      <c r="A17" s="43">
        <v>16</v>
      </c>
      <c r="B17" s="43" t="s">
        <v>4</v>
      </c>
      <c r="C17" s="44" t="s">
        <v>23</v>
      </c>
      <c r="D17" s="58" t="s">
        <v>11</v>
      </c>
      <c r="E17" s="100" t="s">
        <v>27</v>
      </c>
      <c r="F17" s="72" t="s">
        <v>116</v>
      </c>
      <c r="G17" s="65">
        <v>9.3000000000000007</v>
      </c>
      <c r="H17" s="65">
        <v>8.8000000000000007</v>
      </c>
      <c r="I17" s="65">
        <v>8.5</v>
      </c>
      <c r="J17" s="65">
        <v>9.1</v>
      </c>
      <c r="K17" s="65">
        <v>9.1999999999999993</v>
      </c>
      <c r="L17" s="65">
        <v>7.9</v>
      </c>
      <c r="M17" s="65">
        <v>7.8</v>
      </c>
      <c r="N17" s="65">
        <v>8.8000000000000007</v>
      </c>
      <c r="O17" s="65">
        <v>6.2</v>
      </c>
      <c r="P17" s="65">
        <v>7.2</v>
      </c>
      <c r="Q17" s="65">
        <v>9.1</v>
      </c>
      <c r="R17" s="64">
        <v>8.8000000000000007</v>
      </c>
      <c r="S17" s="64">
        <v>9</v>
      </c>
      <c r="T17" s="64">
        <v>8.9</v>
      </c>
      <c r="U17" s="64">
        <v>7.6</v>
      </c>
      <c r="V17" s="63">
        <f t="shared" si="0"/>
        <v>8.413333333333334</v>
      </c>
      <c r="W17" s="63">
        <f t="shared" si="4"/>
        <v>8.5499999999999989</v>
      </c>
      <c r="X17" s="63">
        <f t="shared" si="5"/>
        <v>8.1142857142857139</v>
      </c>
      <c r="Y17" s="64">
        <v>6.6</v>
      </c>
      <c r="Z17" s="64">
        <v>7.9</v>
      </c>
      <c r="AA17" s="64">
        <v>8.8000000000000007</v>
      </c>
      <c r="AB17" s="64">
        <v>8.8000000000000007</v>
      </c>
      <c r="AC17" s="64">
        <v>8.1999999999999993</v>
      </c>
      <c r="AD17" s="64"/>
      <c r="AE17" s="64">
        <f t="shared" si="6"/>
        <v>8.0599999999999987</v>
      </c>
      <c r="AF17" s="151">
        <v>0.89</v>
      </c>
      <c r="AG17" s="137">
        <v>6.2</v>
      </c>
      <c r="AH17" s="137">
        <v>5.8</v>
      </c>
      <c r="AI17" s="137" t="s">
        <v>197</v>
      </c>
      <c r="AJ17" s="137"/>
      <c r="AK17" s="166"/>
      <c r="AL17" s="137">
        <f t="shared" si="8"/>
        <v>4.2966666666666669</v>
      </c>
      <c r="AM17" s="151"/>
      <c r="AN17" s="137"/>
      <c r="AO17" s="137"/>
      <c r="AP17" s="137"/>
      <c r="AQ17" s="137"/>
      <c r="AR17" s="166"/>
      <c r="AS17" s="166"/>
      <c r="AT17" s="137"/>
    </row>
    <row r="18" spans="1:46" ht="14.5" x14ac:dyDescent="0.35">
      <c r="A18" s="48">
        <v>17</v>
      </c>
      <c r="B18" s="43" t="s">
        <v>4</v>
      </c>
      <c r="C18" s="44" t="s">
        <v>29</v>
      </c>
      <c r="D18" s="59" t="s">
        <v>13</v>
      </c>
      <c r="E18" s="105" t="s">
        <v>30</v>
      </c>
      <c r="F18" s="72" t="s">
        <v>116</v>
      </c>
      <c r="G18" s="64">
        <v>5.333333333333333</v>
      </c>
      <c r="H18" s="64">
        <v>4</v>
      </c>
      <c r="I18" s="64">
        <v>2.6363636363636362</v>
      </c>
      <c r="J18" s="64">
        <v>3.8181818181818183</v>
      </c>
      <c r="K18" s="64">
        <v>4.7272727272727275</v>
      </c>
      <c r="L18" s="64">
        <v>5.1818181818181817</v>
      </c>
      <c r="M18" s="64">
        <v>3.9</v>
      </c>
      <c r="N18" s="64">
        <v>5</v>
      </c>
      <c r="O18" s="64">
        <v>5.2</v>
      </c>
      <c r="P18" s="64">
        <v>5.5</v>
      </c>
      <c r="Q18" s="64">
        <v>5.4</v>
      </c>
      <c r="R18" s="64">
        <v>5.2</v>
      </c>
      <c r="S18" s="64">
        <v>5.9</v>
      </c>
      <c r="T18" s="64">
        <v>5.9</v>
      </c>
      <c r="U18" s="64">
        <v>5.4</v>
      </c>
      <c r="V18" s="63">
        <f t="shared" si="0"/>
        <v>4.8731313131313136</v>
      </c>
      <c r="W18" s="63">
        <f t="shared" si="4"/>
        <v>4.2106060606060609</v>
      </c>
      <c r="X18" s="63">
        <f t="shared" si="5"/>
        <v>5.5</v>
      </c>
      <c r="Y18" s="64">
        <v>4.9000000000000004</v>
      </c>
      <c r="Z18" s="64">
        <v>5.6</v>
      </c>
      <c r="AA18" s="64">
        <v>5.36</v>
      </c>
      <c r="AB18" s="64">
        <v>6.81</v>
      </c>
      <c r="AC18" s="64">
        <v>6</v>
      </c>
      <c r="AD18" s="64">
        <v>6.5454545454545459</v>
      </c>
      <c r="AE18" s="64">
        <f t="shared" si="6"/>
        <v>5.8692424242424233</v>
      </c>
      <c r="AF18" s="137">
        <v>6.4</v>
      </c>
      <c r="AG18" s="137">
        <v>6.7</v>
      </c>
      <c r="AH18" s="137">
        <v>5.8</v>
      </c>
      <c r="AI18" s="137">
        <v>5.9</v>
      </c>
      <c r="AJ18" s="137">
        <v>5.2</v>
      </c>
      <c r="AK18" s="166">
        <v>5.2</v>
      </c>
      <c r="AL18" s="137">
        <f t="shared" si="8"/>
        <v>5.8666666666666671</v>
      </c>
      <c r="AM18" s="137">
        <v>5.3</v>
      </c>
      <c r="AN18" s="137">
        <v>6</v>
      </c>
      <c r="AO18" s="137">
        <v>5.4</v>
      </c>
      <c r="AP18" s="137"/>
      <c r="AQ18" s="137"/>
      <c r="AR18" s="166"/>
      <c r="AS18" s="166"/>
      <c r="AT18" s="137">
        <f t="shared" si="9"/>
        <v>5.5666666666666673</v>
      </c>
    </row>
    <row r="19" spans="1:46" ht="14.5" x14ac:dyDescent="0.35">
      <c r="A19" s="43">
        <v>18</v>
      </c>
      <c r="B19" s="43" t="s">
        <v>4</v>
      </c>
      <c r="C19" s="44" t="s">
        <v>29</v>
      </c>
      <c r="D19" s="59" t="s">
        <v>13</v>
      </c>
      <c r="E19" s="105" t="s">
        <v>31</v>
      </c>
      <c r="F19" s="72" t="s">
        <v>116</v>
      </c>
      <c r="G19" s="65">
        <v>4.9000000000000004</v>
      </c>
      <c r="H19" s="65">
        <v>7.3</v>
      </c>
      <c r="I19" s="65">
        <v>6.2727272727272725</v>
      </c>
      <c r="J19" s="65">
        <v>6.9090909090909092</v>
      </c>
      <c r="K19" s="64">
        <v>7.5454545454545459</v>
      </c>
      <c r="L19" s="64">
        <v>6.3636363636363633</v>
      </c>
      <c r="M19" s="64">
        <v>5.7272727272727275</v>
      </c>
      <c r="N19" s="64">
        <v>6.7272727272727275</v>
      </c>
      <c r="O19" s="64">
        <v>6</v>
      </c>
      <c r="P19" s="64">
        <v>6.9</v>
      </c>
      <c r="Q19" s="64">
        <v>6.5</v>
      </c>
      <c r="R19" s="64">
        <v>6.4</v>
      </c>
      <c r="S19" s="64">
        <v>6.1</v>
      </c>
      <c r="T19" s="64">
        <v>6.1</v>
      </c>
      <c r="U19" s="64">
        <v>4.7272727272727275</v>
      </c>
      <c r="V19" s="64">
        <f t="shared" si="0"/>
        <v>6.2981818181818188</v>
      </c>
      <c r="W19" s="64">
        <f t="shared" ref="W19:W22" si="10">AVERAGE(I19:N19)</f>
        <v>6.5909090909090908</v>
      </c>
      <c r="X19" s="64">
        <f t="shared" si="1"/>
        <v>6.1038961038961039</v>
      </c>
      <c r="Y19" s="64">
        <v>5.9</v>
      </c>
      <c r="Z19" s="64">
        <v>5.6</v>
      </c>
      <c r="AA19" s="64">
        <v>7.45</v>
      </c>
      <c r="AB19" s="64">
        <v>7.18</v>
      </c>
      <c r="AC19" s="64">
        <v>6.45</v>
      </c>
      <c r="AD19" s="64">
        <v>5.9090909090909092</v>
      </c>
      <c r="AE19" s="64">
        <f t="shared" si="6"/>
        <v>6.4148484848484841</v>
      </c>
      <c r="AF19" s="137">
        <v>6.8</v>
      </c>
      <c r="AG19" s="137">
        <v>6.1</v>
      </c>
      <c r="AH19" s="137">
        <v>5.27</v>
      </c>
      <c r="AI19" s="137">
        <v>6.2727272730000001</v>
      </c>
      <c r="AJ19" s="137">
        <v>7.0909090909090908</v>
      </c>
      <c r="AK19" s="166">
        <v>6.8181818181818183</v>
      </c>
      <c r="AL19" s="137">
        <f t="shared" si="8"/>
        <v>6.3919696970151518</v>
      </c>
      <c r="AM19" s="137">
        <v>7.09</v>
      </c>
      <c r="AN19" s="137">
        <v>7</v>
      </c>
      <c r="AO19" s="137">
        <v>7.0909090910000003</v>
      </c>
      <c r="AP19" s="137"/>
      <c r="AQ19" s="137"/>
      <c r="AR19" s="166"/>
      <c r="AS19" s="166"/>
      <c r="AT19" s="137">
        <f t="shared" si="9"/>
        <v>7.0603030303333334</v>
      </c>
    </row>
    <row r="20" spans="1:46" ht="14.5" x14ac:dyDescent="0.35">
      <c r="A20" s="48">
        <v>19</v>
      </c>
      <c r="B20" s="43" t="s">
        <v>4</v>
      </c>
      <c r="C20" s="44" t="s">
        <v>29</v>
      </c>
      <c r="D20" s="59" t="s">
        <v>13</v>
      </c>
      <c r="E20" s="113" t="s">
        <v>32</v>
      </c>
      <c r="F20" s="72" t="s">
        <v>116</v>
      </c>
      <c r="G20" s="64">
        <v>4.4444444444444446</v>
      </c>
      <c r="H20" s="64">
        <v>5.4444444444444446</v>
      </c>
      <c r="I20" s="64">
        <v>4.5999999999999996</v>
      </c>
      <c r="J20" s="64">
        <v>4.9000000000000004</v>
      </c>
      <c r="K20" s="64">
        <v>4.7</v>
      </c>
      <c r="L20" s="64">
        <v>5.3</v>
      </c>
      <c r="M20" s="64">
        <v>5.5</v>
      </c>
      <c r="N20" s="64">
        <v>5.4</v>
      </c>
      <c r="O20" s="64">
        <v>4.3</v>
      </c>
      <c r="P20" s="64">
        <v>6.3</v>
      </c>
      <c r="Q20" s="64">
        <v>5.9</v>
      </c>
      <c r="R20" s="64">
        <v>4.5</v>
      </c>
      <c r="S20" s="64">
        <v>2.1999999999999997</v>
      </c>
      <c r="T20" s="64">
        <v>5</v>
      </c>
      <c r="U20" s="64">
        <v>3.43</v>
      </c>
      <c r="V20" s="64">
        <f t="shared" si="0"/>
        <v>4.7945925925925925</v>
      </c>
      <c r="W20" s="64">
        <f t="shared" si="10"/>
        <v>5.0666666666666664</v>
      </c>
      <c r="X20" s="64">
        <f t="shared" si="1"/>
        <v>4.5185714285714287</v>
      </c>
      <c r="Y20" s="64">
        <v>3</v>
      </c>
      <c r="Z20" s="64">
        <v>4.5</v>
      </c>
      <c r="AA20" s="64">
        <v>4.82</v>
      </c>
      <c r="AB20" s="64">
        <v>5.36</v>
      </c>
      <c r="AC20" s="64">
        <v>6.58</v>
      </c>
      <c r="AD20" s="64">
        <v>5.083333333333333</v>
      </c>
      <c r="AE20" s="64">
        <f t="shared" si="6"/>
        <v>4.8905555555555553</v>
      </c>
      <c r="AF20" s="137">
        <v>5.3636363636363633</v>
      </c>
      <c r="AG20" s="137">
        <v>5.2818181818181822</v>
      </c>
      <c r="AH20" s="137">
        <v>5.7</v>
      </c>
      <c r="AI20" s="137">
        <v>5.2</v>
      </c>
      <c r="AJ20" s="137">
        <v>4.5</v>
      </c>
      <c r="AK20" s="166">
        <v>8</v>
      </c>
      <c r="AL20" s="137">
        <f t="shared" si="8"/>
        <v>5.6742424242424248</v>
      </c>
      <c r="AM20" s="137">
        <v>3.6</v>
      </c>
      <c r="AN20" s="137">
        <v>4.8</v>
      </c>
      <c r="AO20" s="137">
        <v>5.5</v>
      </c>
      <c r="AP20" s="137"/>
      <c r="AQ20" s="137"/>
      <c r="AR20" s="166"/>
      <c r="AS20" s="166"/>
      <c r="AT20" s="137">
        <f t="shared" si="9"/>
        <v>4.6333333333333337</v>
      </c>
    </row>
    <row r="21" spans="1:46" ht="14.5" x14ac:dyDescent="0.35">
      <c r="A21" s="43">
        <v>20</v>
      </c>
      <c r="B21" s="43" t="s">
        <v>4</v>
      </c>
      <c r="C21" s="44" t="s">
        <v>29</v>
      </c>
      <c r="D21" s="57" t="s">
        <v>15</v>
      </c>
      <c r="E21" s="100" t="s">
        <v>33</v>
      </c>
      <c r="F21" s="72" t="s">
        <v>116</v>
      </c>
      <c r="G21" s="64">
        <v>7.1</v>
      </c>
      <c r="H21" s="64">
        <v>5.4</v>
      </c>
      <c r="I21" s="64">
        <v>6.2222222222222223</v>
      </c>
      <c r="J21" s="64">
        <v>6.333333333333333</v>
      </c>
      <c r="K21" s="64">
        <v>5.4444444444444446</v>
      </c>
      <c r="L21" s="64">
        <v>4.666666666666667</v>
      </c>
      <c r="M21" s="64">
        <v>6.7777777777777777</v>
      </c>
      <c r="N21" s="64">
        <v>6.1111111111111107</v>
      </c>
      <c r="O21" s="64">
        <v>6.1111111111111107</v>
      </c>
      <c r="P21" s="64">
        <v>3.5555555555555554</v>
      </c>
      <c r="Q21" s="64">
        <v>5.1100000000000003</v>
      </c>
      <c r="R21" s="64">
        <v>6</v>
      </c>
      <c r="S21" s="64">
        <v>5.77</v>
      </c>
      <c r="T21" s="64">
        <v>3.88</v>
      </c>
      <c r="U21" s="64">
        <v>3.3333333333333335</v>
      </c>
      <c r="V21" s="64">
        <f t="shared" si="0"/>
        <v>5.4543703703703699</v>
      </c>
      <c r="W21" s="64">
        <f t="shared" si="10"/>
        <v>5.9259259259259265</v>
      </c>
      <c r="X21" s="64">
        <f t="shared" si="1"/>
        <v>4.822857142857143</v>
      </c>
      <c r="Y21" s="64">
        <v>6.22</v>
      </c>
      <c r="Z21" s="64">
        <v>6.11</v>
      </c>
      <c r="AA21" s="64">
        <v>6.11</v>
      </c>
      <c r="AB21" s="64">
        <v>6.33</v>
      </c>
      <c r="AC21" s="64">
        <v>6.44</v>
      </c>
      <c r="AD21" s="64">
        <v>6.5</v>
      </c>
      <c r="AE21" s="64">
        <f t="shared" si="6"/>
        <v>6.285000000000001</v>
      </c>
      <c r="AF21" s="137">
        <v>5.4444444444444446</v>
      </c>
      <c r="AG21" s="137">
        <v>6.666666666666667</v>
      </c>
      <c r="AH21" s="137">
        <v>6.22</v>
      </c>
      <c r="AI21" s="137">
        <v>7</v>
      </c>
      <c r="AJ21" s="137">
        <v>7.22</v>
      </c>
      <c r="AK21" s="166">
        <v>8.2222222222222214</v>
      </c>
      <c r="AL21" s="137">
        <f t="shared" si="8"/>
        <v>6.7955555555555556</v>
      </c>
      <c r="AM21" s="137">
        <v>9.56</v>
      </c>
      <c r="AN21" s="137">
        <v>8.7799999999999994</v>
      </c>
      <c r="AO21" s="137"/>
      <c r="AP21" s="137"/>
      <c r="AQ21" s="137"/>
      <c r="AR21" s="166"/>
      <c r="AS21" s="166"/>
      <c r="AT21" s="137">
        <f t="shared" si="9"/>
        <v>9.17</v>
      </c>
    </row>
    <row r="22" spans="1:46" ht="14.5" x14ac:dyDescent="0.35">
      <c r="A22" s="48">
        <v>21</v>
      </c>
      <c r="B22" s="17" t="s">
        <v>4</v>
      </c>
      <c r="C22" s="49" t="s">
        <v>5</v>
      </c>
      <c r="D22" s="57" t="s">
        <v>7</v>
      </c>
      <c r="E22" s="121" t="s">
        <v>64</v>
      </c>
      <c r="F22" s="72" t="s">
        <v>43</v>
      </c>
      <c r="G22" s="63"/>
      <c r="H22" s="63"/>
      <c r="I22" s="63"/>
      <c r="J22" s="63"/>
      <c r="K22" s="63">
        <v>1.25</v>
      </c>
      <c r="L22" s="63">
        <v>8</v>
      </c>
      <c r="M22" s="63">
        <v>5.5</v>
      </c>
      <c r="N22" s="63">
        <v>5.5</v>
      </c>
      <c r="O22" s="63">
        <v>8</v>
      </c>
      <c r="P22" s="63">
        <v>5.5</v>
      </c>
      <c r="Q22" s="63">
        <v>5.75</v>
      </c>
      <c r="R22" s="63">
        <v>5.25</v>
      </c>
      <c r="S22" s="63">
        <v>6.75</v>
      </c>
      <c r="T22" s="63">
        <v>3.25</v>
      </c>
      <c r="U22" s="63">
        <v>5.5</v>
      </c>
      <c r="V22" s="63">
        <f t="shared" si="0"/>
        <v>5.4772727272727275</v>
      </c>
      <c r="W22" s="63">
        <f t="shared" si="10"/>
        <v>5.0625</v>
      </c>
      <c r="X22" s="63">
        <f t="shared" si="1"/>
        <v>5.7142857142857144</v>
      </c>
      <c r="Y22" s="155"/>
      <c r="Z22" s="155"/>
      <c r="AA22" s="155"/>
      <c r="AB22" s="155"/>
      <c r="AC22" s="155"/>
      <c r="AD22" s="155"/>
      <c r="AE22" s="155"/>
      <c r="AF22" s="156"/>
      <c r="AG22" s="156"/>
      <c r="AH22" s="156"/>
      <c r="AI22" s="156"/>
      <c r="AJ22" s="156"/>
      <c r="AK22" s="168"/>
      <c r="AL22" s="156"/>
      <c r="AM22" s="156"/>
      <c r="AN22" s="156"/>
      <c r="AO22" s="156"/>
      <c r="AP22" s="156"/>
      <c r="AQ22" s="156"/>
      <c r="AR22" s="168"/>
      <c r="AS22" s="168"/>
      <c r="AT22" s="156"/>
    </row>
    <row r="23" spans="1:46" ht="14.5" x14ac:dyDescent="0.35">
      <c r="A23" s="43">
        <v>22</v>
      </c>
      <c r="B23" s="17" t="s">
        <v>4</v>
      </c>
      <c r="C23" s="44" t="s">
        <v>29</v>
      </c>
      <c r="D23" s="60" t="s">
        <v>17</v>
      </c>
      <c r="E23" s="4" t="s">
        <v>34</v>
      </c>
      <c r="F23" s="72" t="s">
        <v>116</v>
      </c>
      <c r="G23" s="64"/>
      <c r="H23" s="64"/>
      <c r="I23" s="64"/>
      <c r="J23" s="64"/>
      <c r="K23" s="64"/>
      <c r="L23" s="64"/>
      <c r="M23" s="64"/>
      <c r="N23" s="64"/>
      <c r="O23" s="64">
        <v>16</v>
      </c>
      <c r="P23" s="64">
        <v>13</v>
      </c>
      <c r="Q23" s="64">
        <v>13</v>
      </c>
      <c r="R23" s="64">
        <v>14.5</v>
      </c>
      <c r="S23" s="64">
        <v>9</v>
      </c>
      <c r="T23" s="64">
        <v>7.5</v>
      </c>
      <c r="U23" s="64">
        <v>12</v>
      </c>
      <c r="V23" s="64">
        <f t="shared" si="0"/>
        <v>12.142857142857142</v>
      </c>
      <c r="W23" s="64">
        <f>AVERAGE(I23:U23)</f>
        <v>12.142857142857142</v>
      </c>
      <c r="X23" s="64">
        <f t="shared" si="1"/>
        <v>12.142857142857142</v>
      </c>
      <c r="Y23" s="64">
        <v>12</v>
      </c>
      <c r="Z23" s="64">
        <v>11.5</v>
      </c>
      <c r="AA23" s="64">
        <v>14</v>
      </c>
      <c r="AB23" s="64">
        <v>11.5</v>
      </c>
      <c r="AC23" s="64">
        <v>12</v>
      </c>
      <c r="AD23" s="64">
        <v>9</v>
      </c>
      <c r="AE23" s="64">
        <f t="shared" si="6"/>
        <v>11.666666666666666</v>
      </c>
      <c r="AF23" s="137">
        <v>13</v>
      </c>
      <c r="AG23" s="137">
        <v>14</v>
      </c>
      <c r="AH23" s="137">
        <v>14</v>
      </c>
      <c r="AI23" s="137">
        <v>15</v>
      </c>
      <c r="AJ23" s="137">
        <v>12.5</v>
      </c>
      <c r="AK23" s="166">
        <v>13.5</v>
      </c>
      <c r="AL23" s="137">
        <f>AVERAGE(AF23:AK23)</f>
        <v>13.666666666666666</v>
      </c>
      <c r="AM23" s="137">
        <v>10.5</v>
      </c>
      <c r="AN23" s="137">
        <v>12</v>
      </c>
      <c r="AO23" s="137">
        <v>12</v>
      </c>
      <c r="AP23" s="137"/>
      <c r="AQ23" s="137"/>
      <c r="AR23" s="166"/>
      <c r="AS23" s="166"/>
      <c r="AT23" s="137">
        <f>AVERAGE(AM23:AR23)</f>
        <v>11.5</v>
      </c>
    </row>
    <row r="24" spans="1:46" ht="14.5" x14ac:dyDescent="0.35">
      <c r="A24" s="48">
        <v>23</v>
      </c>
      <c r="B24" s="17" t="s">
        <v>4</v>
      </c>
      <c r="C24" s="44" t="s">
        <v>29</v>
      </c>
      <c r="D24" s="60" t="s">
        <v>17</v>
      </c>
      <c r="E24" s="4" t="s">
        <v>35</v>
      </c>
      <c r="F24" s="72" t="s">
        <v>116</v>
      </c>
      <c r="G24" s="64"/>
      <c r="H24" s="64"/>
      <c r="I24" s="64"/>
      <c r="J24" s="64"/>
      <c r="K24" s="64"/>
      <c r="L24" s="64"/>
      <c r="M24" s="64"/>
      <c r="N24" s="64"/>
      <c r="O24" s="64">
        <v>10</v>
      </c>
      <c r="P24" s="64">
        <v>8.25</v>
      </c>
      <c r="Q24" s="64">
        <v>12.75</v>
      </c>
      <c r="R24" s="64">
        <v>12.75</v>
      </c>
      <c r="S24" s="64">
        <v>10.25</v>
      </c>
      <c r="T24" s="64">
        <v>6</v>
      </c>
      <c r="U24" s="64">
        <v>2.25</v>
      </c>
      <c r="V24" s="64">
        <f t="shared" si="0"/>
        <v>8.8928571428571423</v>
      </c>
      <c r="W24" s="64">
        <f>AVERAGE(I24:U24)</f>
        <v>8.8928571428571423</v>
      </c>
      <c r="X24" s="64">
        <f t="shared" si="1"/>
        <v>8.8928571428571423</v>
      </c>
      <c r="Y24" s="64">
        <v>14</v>
      </c>
      <c r="Z24" s="64">
        <v>14</v>
      </c>
      <c r="AA24" s="64">
        <v>12.67</v>
      </c>
      <c r="AB24" s="64">
        <v>11.33</v>
      </c>
      <c r="AC24" s="64">
        <v>8.75</v>
      </c>
      <c r="AD24" s="64">
        <v>9.6666666666666661</v>
      </c>
      <c r="AE24" s="64">
        <f t="shared" si="6"/>
        <v>11.736111111111112</v>
      </c>
      <c r="AF24" s="137">
        <v>6</v>
      </c>
      <c r="AG24" s="137">
        <v>12</v>
      </c>
      <c r="AH24" s="137">
        <v>11.75</v>
      </c>
      <c r="AI24" s="137">
        <v>11.5</v>
      </c>
      <c r="AJ24" s="137">
        <v>10</v>
      </c>
      <c r="AK24" s="166">
        <v>9.8000000000000007</v>
      </c>
      <c r="AL24" s="137">
        <f>AVERAGE(AF24:AK24)</f>
        <v>10.174999999999999</v>
      </c>
      <c r="AM24" s="137">
        <v>8.6</v>
      </c>
      <c r="AN24" s="137">
        <v>10</v>
      </c>
      <c r="AO24" s="137">
        <v>9.1999999999999993</v>
      </c>
      <c r="AP24" s="137"/>
      <c r="AQ24" s="137"/>
      <c r="AR24" s="166"/>
      <c r="AS24" s="166"/>
      <c r="AT24" s="137">
        <f>AVERAGE(AM24:AR24)</f>
        <v>9.2666666666666675</v>
      </c>
    </row>
    <row r="25" spans="1:46" ht="14.5" x14ac:dyDescent="0.35">
      <c r="A25" s="43">
        <v>24</v>
      </c>
      <c r="B25" s="17" t="s">
        <v>4</v>
      </c>
      <c r="C25" s="44" t="s">
        <v>29</v>
      </c>
      <c r="D25" s="60" t="s">
        <v>17</v>
      </c>
      <c r="E25" s="4" t="s">
        <v>36</v>
      </c>
      <c r="F25" s="72" t="s">
        <v>116</v>
      </c>
      <c r="G25" s="64"/>
      <c r="H25" s="64"/>
      <c r="I25" s="64"/>
      <c r="J25" s="64"/>
      <c r="K25" s="64"/>
      <c r="L25" s="64"/>
      <c r="M25" s="64"/>
      <c r="N25" s="64"/>
      <c r="O25" s="64">
        <v>5</v>
      </c>
      <c r="P25" s="64">
        <v>6.5</v>
      </c>
      <c r="Q25" s="64">
        <v>8</v>
      </c>
      <c r="R25" s="64">
        <v>11.5</v>
      </c>
      <c r="S25" s="64">
        <v>2.5</v>
      </c>
      <c r="T25" s="64">
        <v>1</v>
      </c>
      <c r="U25" s="64">
        <v>2.5</v>
      </c>
      <c r="V25" s="64">
        <f t="shared" si="0"/>
        <v>5.2857142857142856</v>
      </c>
      <c r="W25" s="64">
        <f>AVERAGE(I25:U25)</f>
        <v>5.2857142857142856</v>
      </c>
      <c r="X25" s="64">
        <f t="shared" si="1"/>
        <v>5.2857142857142856</v>
      </c>
      <c r="Y25" s="64"/>
      <c r="Z25" s="64"/>
      <c r="AA25" s="64"/>
      <c r="AB25" s="64"/>
      <c r="AC25" s="64">
        <v>8.5</v>
      </c>
      <c r="AD25" s="64">
        <v>6.5</v>
      </c>
      <c r="AE25" s="64">
        <f t="shared" si="6"/>
        <v>7.5</v>
      </c>
      <c r="AF25" s="137">
        <v>10</v>
      </c>
      <c r="AG25" s="156"/>
      <c r="AH25" s="156"/>
      <c r="AI25" s="156"/>
      <c r="AJ25" s="156"/>
      <c r="AK25" s="168"/>
      <c r="AL25" s="156">
        <f>AVERAGE(AF25:AK25)</f>
        <v>10</v>
      </c>
      <c r="AM25" s="156"/>
      <c r="AN25" s="156"/>
      <c r="AO25" s="156"/>
      <c r="AP25" s="156"/>
      <c r="AQ25" s="156"/>
      <c r="AR25" s="168"/>
      <c r="AS25" s="168"/>
      <c r="AT25" s="156"/>
    </row>
    <row r="26" spans="1:46" ht="24" x14ac:dyDescent="0.35">
      <c r="A26" s="48">
        <v>25</v>
      </c>
      <c r="B26" s="50" t="s">
        <v>4</v>
      </c>
      <c r="C26" s="51" t="s">
        <v>28</v>
      </c>
      <c r="D26" s="52"/>
      <c r="E26" s="4" t="s">
        <v>83</v>
      </c>
      <c r="F26" s="72"/>
      <c r="G26" s="64"/>
      <c r="H26" s="64"/>
      <c r="I26" s="64"/>
      <c r="J26" s="64"/>
      <c r="K26" s="64"/>
      <c r="L26" s="64"/>
      <c r="M26" s="64"/>
      <c r="N26" s="64"/>
      <c r="O26" s="64"/>
      <c r="P26" s="64"/>
      <c r="Q26" s="64"/>
      <c r="R26" s="64"/>
      <c r="S26" s="64"/>
      <c r="T26" s="64"/>
      <c r="U26" s="64"/>
      <c r="V26" s="64"/>
      <c r="W26" s="64"/>
      <c r="X26" s="64"/>
      <c r="Y26" s="155"/>
      <c r="Z26" s="155"/>
      <c r="AA26" s="155"/>
      <c r="AB26" s="155"/>
      <c r="AC26" s="155"/>
      <c r="AD26" s="155"/>
      <c r="AE26" s="155"/>
      <c r="AF26" s="156"/>
      <c r="AG26" s="156"/>
      <c r="AH26" s="156"/>
      <c r="AI26" s="156"/>
      <c r="AJ26" s="156"/>
      <c r="AK26" s="168"/>
      <c r="AL26" s="156"/>
      <c r="AM26" s="156"/>
      <c r="AN26" s="156"/>
      <c r="AO26" s="156"/>
      <c r="AP26" s="156"/>
      <c r="AQ26" s="156"/>
      <c r="AR26" s="168"/>
      <c r="AS26" s="168"/>
      <c r="AT26" s="156"/>
    </row>
    <row r="27" spans="1:46" ht="14.5" x14ac:dyDescent="0.35">
      <c r="A27" s="43">
        <v>26</v>
      </c>
      <c r="B27" s="53" t="s">
        <v>4</v>
      </c>
      <c r="C27" s="44" t="s">
        <v>29</v>
      </c>
      <c r="D27" s="54"/>
      <c r="E27" s="4" t="s">
        <v>83</v>
      </c>
      <c r="F27" s="72"/>
      <c r="G27" s="64"/>
      <c r="H27" s="64"/>
      <c r="I27" s="64"/>
      <c r="J27" s="64"/>
      <c r="K27" s="64"/>
      <c r="L27" s="64"/>
      <c r="M27" s="64"/>
      <c r="N27" s="64"/>
      <c r="O27" s="64"/>
      <c r="P27" s="64"/>
      <c r="Q27" s="64"/>
      <c r="R27" s="64"/>
      <c r="S27" s="64"/>
      <c r="T27" s="64"/>
      <c r="U27" s="64"/>
      <c r="V27" s="64"/>
      <c r="W27" s="64"/>
      <c r="X27" s="64"/>
      <c r="Y27" s="155"/>
      <c r="Z27" s="155"/>
      <c r="AA27" s="155"/>
      <c r="AB27" s="155"/>
      <c r="AC27" s="155"/>
      <c r="AD27" s="155"/>
      <c r="AE27" s="155"/>
      <c r="AF27" s="156"/>
      <c r="AG27" s="156"/>
      <c r="AH27" s="156"/>
      <c r="AI27" s="156"/>
      <c r="AJ27" s="156"/>
      <c r="AK27" s="168"/>
      <c r="AL27" s="156"/>
      <c r="AM27" s="156"/>
      <c r="AN27" s="156"/>
      <c r="AO27" s="156"/>
      <c r="AP27" s="156"/>
      <c r="AQ27" s="156"/>
      <c r="AR27" s="168"/>
      <c r="AS27" s="168"/>
      <c r="AT27" s="156"/>
    </row>
    <row r="28" spans="1:46" ht="14.5" x14ac:dyDescent="0.35">
      <c r="A28" s="48">
        <v>27</v>
      </c>
      <c r="B28" s="48" t="s">
        <v>4</v>
      </c>
      <c r="C28" s="44" t="s">
        <v>29</v>
      </c>
      <c r="D28" s="15"/>
      <c r="E28" s="4" t="s">
        <v>84</v>
      </c>
      <c r="F28" s="11"/>
      <c r="G28" s="64"/>
      <c r="H28" s="64"/>
      <c r="I28" s="64"/>
      <c r="J28" s="64"/>
      <c r="K28" s="64"/>
      <c r="L28" s="64"/>
      <c r="M28" s="64"/>
      <c r="N28" s="64"/>
      <c r="O28" s="64"/>
      <c r="P28" s="64"/>
      <c r="Q28" s="64"/>
      <c r="R28" s="64"/>
      <c r="S28" s="64"/>
      <c r="T28" s="64"/>
      <c r="U28" s="64"/>
      <c r="V28" s="64"/>
      <c r="W28" s="64"/>
      <c r="X28" s="64"/>
      <c r="Y28" s="155"/>
      <c r="Z28" s="155"/>
      <c r="AA28" s="155"/>
      <c r="AB28" s="155"/>
      <c r="AC28" s="155"/>
      <c r="AD28" s="155"/>
      <c r="AE28" s="155"/>
      <c r="AF28" s="156"/>
      <c r="AG28" s="156"/>
      <c r="AH28" s="156"/>
      <c r="AI28" s="156"/>
      <c r="AJ28" s="156"/>
      <c r="AK28" s="168"/>
      <c r="AL28" s="156"/>
      <c r="AM28" s="156"/>
      <c r="AN28" s="156"/>
      <c r="AO28" s="156"/>
      <c r="AP28" s="156"/>
      <c r="AQ28" s="156"/>
      <c r="AR28" s="168"/>
      <c r="AS28" s="168"/>
      <c r="AT28" s="156"/>
    </row>
    <row r="29" spans="1:46" ht="14.5" x14ac:dyDescent="0.35">
      <c r="A29" s="43">
        <v>28</v>
      </c>
      <c r="B29" s="43" t="s">
        <v>4</v>
      </c>
      <c r="C29" s="44" t="s">
        <v>23</v>
      </c>
      <c r="D29" s="58" t="s">
        <v>11</v>
      </c>
      <c r="E29" s="100" t="s">
        <v>144</v>
      </c>
      <c r="F29" s="72" t="s">
        <v>116</v>
      </c>
      <c r="G29" s="64"/>
      <c r="H29" s="64"/>
      <c r="I29" s="64"/>
      <c r="J29" s="64"/>
      <c r="K29" s="64"/>
      <c r="L29" s="64"/>
      <c r="M29" s="64"/>
      <c r="N29" s="64"/>
      <c r="O29" s="64"/>
      <c r="P29" s="64"/>
      <c r="Q29" s="64"/>
      <c r="R29" s="64"/>
      <c r="S29" s="64"/>
      <c r="T29" s="64"/>
      <c r="U29" s="64"/>
      <c r="V29" s="64"/>
      <c r="W29" s="64"/>
      <c r="X29" s="64"/>
      <c r="Y29" s="64"/>
      <c r="Z29" s="64"/>
      <c r="AA29" s="64"/>
      <c r="AB29" s="64"/>
      <c r="AC29" s="64"/>
      <c r="AD29" s="64"/>
      <c r="AE29" s="64"/>
      <c r="AF29" s="137">
        <v>3.3333333333333335</v>
      </c>
      <c r="AG29" s="137">
        <v>9</v>
      </c>
      <c r="AH29" s="137">
        <v>4</v>
      </c>
      <c r="AI29" s="137">
        <v>8.5</v>
      </c>
      <c r="AJ29" s="137">
        <v>7.5</v>
      </c>
      <c r="AK29" s="166">
        <v>3.5</v>
      </c>
      <c r="AL29" s="137">
        <f>AVERAGE(AF29:AK29)</f>
        <v>5.9722222222222223</v>
      </c>
      <c r="AM29" s="137">
        <v>7</v>
      </c>
      <c r="AN29" s="137"/>
      <c r="AO29" s="137"/>
      <c r="AP29" s="137"/>
      <c r="AQ29" s="137"/>
      <c r="AR29" s="166"/>
      <c r="AS29" s="166"/>
      <c r="AT29" s="137">
        <f>AVERAGE(AM29:AR29)</f>
        <v>7</v>
      </c>
    </row>
    <row r="30" spans="1:46" ht="15" customHeight="1" x14ac:dyDescent="0.35">
      <c r="D30" s="72"/>
      <c r="E30" s="4"/>
      <c r="F30" s="11"/>
      <c r="S30" s="55"/>
      <c r="T30" s="55"/>
    </row>
    <row r="31" spans="1:46" ht="14.5" x14ac:dyDescent="0.35">
      <c r="D31" s="11"/>
      <c r="E31" s="4"/>
      <c r="F31" s="11"/>
      <c r="P31">
        <v>5</v>
      </c>
      <c r="S31" s="55"/>
      <c r="T31" s="55"/>
      <c r="V31" s="20">
        <v>14</v>
      </c>
    </row>
    <row r="32" spans="1:46" ht="14.5" x14ac:dyDescent="0.35">
      <c r="D32" s="11"/>
      <c r="E32" s="4"/>
      <c r="F32" s="11"/>
      <c r="P32">
        <v>5</v>
      </c>
      <c r="S32" s="55"/>
      <c r="T32" s="55"/>
      <c r="V32" s="20">
        <v>10</v>
      </c>
    </row>
    <row r="33" spans="5:22" ht="14.5" x14ac:dyDescent="0.35">
      <c r="P33">
        <v>10</v>
      </c>
      <c r="S33" s="55"/>
      <c r="T33" s="55"/>
      <c r="V33" s="20">
        <v>10</v>
      </c>
    </row>
    <row r="34" spans="5:22" ht="14.5" x14ac:dyDescent="0.35">
      <c r="P34">
        <v>10</v>
      </c>
      <c r="S34" s="55"/>
      <c r="T34" s="55"/>
      <c r="V34" s="20">
        <f>AVERAGE(V31:V33)</f>
        <v>11.333333333333334</v>
      </c>
    </row>
    <row r="35" spans="5:22" ht="14.5" x14ac:dyDescent="0.35">
      <c r="P35">
        <v>10</v>
      </c>
      <c r="S35" s="55"/>
      <c r="T35" s="55"/>
      <c r="V35" s="20">
        <f>V34*0.8</f>
        <v>9.0666666666666682</v>
      </c>
    </row>
    <row r="36" spans="5:22" ht="15" customHeight="1" x14ac:dyDescent="0.35">
      <c r="E36" s="4"/>
      <c r="S36" s="55"/>
      <c r="T36" s="55"/>
    </row>
    <row r="37" spans="5:22" ht="14.5" x14ac:dyDescent="0.35">
      <c r="E37" s="4"/>
      <c r="P37">
        <f>AVERAGE(P31:P35)</f>
        <v>8</v>
      </c>
      <c r="S37" s="55"/>
      <c r="T37" s="55"/>
    </row>
    <row r="38" spans="5:22" ht="14.5" x14ac:dyDescent="0.35">
      <c r="E38" s="4"/>
      <c r="P38">
        <f>P37*0.8</f>
        <v>6.4</v>
      </c>
      <c r="S38" s="55"/>
      <c r="T38" s="55"/>
    </row>
    <row r="39" spans="5:22" ht="15" customHeight="1" x14ac:dyDescent="0.35">
      <c r="S39" s="55"/>
      <c r="T39" s="55"/>
    </row>
    <row r="40" spans="5:22" ht="15" customHeight="1" x14ac:dyDescent="0.35">
      <c r="S40" s="55"/>
      <c r="T40" s="55"/>
    </row>
    <row r="41" spans="5:22" ht="15" customHeight="1" x14ac:dyDescent="0.35">
      <c r="E41" s="4"/>
      <c r="S41" s="55"/>
      <c r="T41" s="55"/>
    </row>
    <row r="42" spans="5:22" ht="15" customHeight="1" x14ac:dyDescent="0.35">
      <c r="E42" s="4"/>
      <c r="S42" s="55"/>
      <c r="T42" s="55"/>
    </row>
    <row r="43" spans="5:22" ht="15" customHeight="1" x14ac:dyDescent="0.35">
      <c r="E43" s="4"/>
      <c r="S43" s="55"/>
      <c r="T43" s="55"/>
    </row>
    <row r="44" spans="5:22" ht="15" customHeight="1" x14ac:dyDescent="0.35">
      <c r="S44" s="55"/>
      <c r="T44" s="55"/>
    </row>
    <row r="45" spans="5:22" ht="15" customHeight="1" x14ac:dyDescent="0.35">
      <c r="S45" s="55"/>
      <c r="T45" s="55"/>
    </row>
    <row r="46" spans="5:22" ht="15" customHeight="1" x14ac:dyDescent="0.35">
      <c r="S46" s="55"/>
      <c r="T46" s="55"/>
    </row>
    <row r="47" spans="5:22" ht="15" customHeight="1" x14ac:dyDescent="0.35">
      <c r="S47" s="55"/>
      <c r="T47" s="55"/>
    </row>
    <row r="48" spans="5:22" ht="15" customHeight="1" x14ac:dyDescent="0.35">
      <c r="S48" s="55"/>
      <c r="T48" s="55"/>
    </row>
    <row r="49" spans="19:20" ht="15" customHeight="1" x14ac:dyDescent="0.35">
      <c r="S49" s="55"/>
      <c r="T49" s="55"/>
    </row>
    <row r="50" spans="19:20" ht="15" customHeight="1" x14ac:dyDescent="0.35">
      <c r="S50" s="55"/>
      <c r="T50" s="55"/>
    </row>
    <row r="51" spans="19:20" ht="15" customHeight="1" x14ac:dyDescent="0.35">
      <c r="S51" s="55"/>
      <c r="T51" s="55"/>
    </row>
    <row r="52" spans="19:20" ht="15" customHeight="1" x14ac:dyDescent="0.35">
      <c r="S52" s="55"/>
      <c r="T52" s="55"/>
    </row>
    <row r="53" spans="19:20" ht="15" customHeight="1" x14ac:dyDescent="0.35">
      <c r="S53" s="55"/>
      <c r="T53" s="55"/>
    </row>
    <row r="54" spans="19:20" ht="15" customHeight="1" x14ac:dyDescent="0.35">
      <c r="S54" s="55"/>
      <c r="T54" s="55"/>
    </row>
    <row r="55" spans="19:20" ht="15" customHeight="1" x14ac:dyDescent="0.35">
      <c r="S55" s="55"/>
      <c r="T55" s="55"/>
    </row>
    <row r="56" spans="19:20" ht="15" customHeight="1" x14ac:dyDescent="0.35">
      <c r="S56" s="55"/>
      <c r="T56" s="55"/>
    </row>
    <row r="57" spans="19:20" ht="15" customHeight="1" x14ac:dyDescent="0.35">
      <c r="S57" s="55"/>
      <c r="T57" s="55"/>
    </row>
    <row r="58" spans="19:20" ht="15" customHeight="1" x14ac:dyDescent="0.35">
      <c r="S58" s="55"/>
      <c r="T58" s="55"/>
    </row>
    <row r="59" spans="19:20" ht="15" customHeight="1" x14ac:dyDescent="0.35">
      <c r="S59" s="55"/>
      <c r="T59" s="55"/>
    </row>
    <row r="60" spans="19:20" ht="15" customHeight="1" x14ac:dyDescent="0.35">
      <c r="S60" s="55"/>
      <c r="T60" s="55"/>
    </row>
    <row r="61" spans="19:20" ht="15" customHeight="1" x14ac:dyDescent="0.35">
      <c r="S61" s="55"/>
      <c r="T61" s="55"/>
    </row>
    <row r="62" spans="19:20" ht="15" customHeight="1" x14ac:dyDescent="0.35">
      <c r="S62" s="55"/>
      <c r="T62" s="55"/>
    </row>
    <row r="63" spans="19:20" ht="15" customHeight="1" x14ac:dyDescent="0.35">
      <c r="S63" s="55"/>
      <c r="T63" s="55"/>
    </row>
    <row r="64" spans="19:20" ht="15" customHeight="1" x14ac:dyDescent="0.35">
      <c r="S64" s="55"/>
      <c r="T64" s="55"/>
    </row>
    <row r="65" spans="19:20" ht="15" customHeight="1" x14ac:dyDescent="0.35">
      <c r="S65" s="55"/>
      <c r="T65" s="55"/>
    </row>
    <row r="66" spans="19:20" ht="15" customHeight="1" x14ac:dyDescent="0.35">
      <c r="S66" s="55"/>
      <c r="T66" s="55"/>
    </row>
    <row r="67" spans="19:20" ht="15" customHeight="1" x14ac:dyDescent="0.35">
      <c r="S67" s="55"/>
      <c r="T67" s="55"/>
    </row>
    <row r="68" spans="19:20" ht="15" customHeight="1" x14ac:dyDescent="0.35">
      <c r="S68" s="55"/>
      <c r="T68" s="55"/>
    </row>
    <row r="69" spans="19:20" ht="15" customHeight="1" x14ac:dyDescent="0.35">
      <c r="S69" s="55"/>
      <c r="T69" s="55"/>
    </row>
    <row r="70" spans="19:20" ht="15" customHeight="1" x14ac:dyDescent="0.35">
      <c r="S70" s="55"/>
      <c r="T70" s="55"/>
    </row>
    <row r="71" spans="19:20" ht="15" customHeight="1" x14ac:dyDescent="0.35">
      <c r="S71" s="55"/>
      <c r="T71" s="55"/>
    </row>
    <row r="72" spans="19:20" ht="15" customHeight="1" x14ac:dyDescent="0.35">
      <c r="S72" s="55"/>
      <c r="T72" s="55"/>
    </row>
    <row r="73" spans="19:20" ht="15" customHeight="1" x14ac:dyDescent="0.35">
      <c r="S73" s="55"/>
      <c r="T73" s="55"/>
    </row>
  </sheetData>
  <autoFilter ref="A1:AT29" xr:uid="{5306B006-7E54-4A55-82F0-205D8DFF7A3D}"/>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75DEF-7D72-466B-9516-BE1A9F10802D}">
  <dimension ref="A1:I38"/>
  <sheetViews>
    <sheetView zoomScale="90" zoomScaleNormal="90" workbookViewId="0">
      <selection activeCell="K10" sqref="K10"/>
    </sheetView>
  </sheetViews>
  <sheetFormatPr defaultRowHeight="14.5" x14ac:dyDescent="0.35"/>
  <cols>
    <col min="1" max="1" width="25.90625" bestFit="1" customWidth="1"/>
    <col min="2" max="3" width="14" bestFit="1" customWidth="1"/>
    <col min="4" max="4" width="11.81640625" bestFit="1" customWidth="1"/>
    <col min="5" max="5" width="12.81640625" bestFit="1" customWidth="1"/>
    <col min="6" max="6" width="14" bestFit="1" customWidth="1"/>
    <col min="8" max="8" width="12.453125" bestFit="1" customWidth="1"/>
  </cols>
  <sheetData>
    <row r="1" spans="1:9" x14ac:dyDescent="0.35">
      <c r="A1" s="13" t="s">
        <v>2</v>
      </c>
      <c r="B1" t="s">
        <v>44</v>
      </c>
      <c r="H1" s="10" t="s">
        <v>200</v>
      </c>
      <c r="I1" s="142"/>
    </row>
    <row r="2" spans="1:9" x14ac:dyDescent="0.35">
      <c r="A2" s="13" t="s">
        <v>115</v>
      </c>
      <c r="B2" t="s">
        <v>116</v>
      </c>
      <c r="H2" s="10" t="s">
        <v>201</v>
      </c>
      <c r="I2" s="142"/>
    </row>
    <row r="4" spans="1:9" x14ac:dyDescent="0.35">
      <c r="A4" s="13" t="s">
        <v>2</v>
      </c>
      <c r="B4" t="s">
        <v>147</v>
      </c>
      <c r="C4" t="s">
        <v>148</v>
      </c>
      <c r="D4" t="s">
        <v>137</v>
      </c>
      <c r="E4" t="s">
        <v>146</v>
      </c>
      <c r="F4" t="s">
        <v>226</v>
      </c>
    </row>
    <row r="5" spans="1:9" x14ac:dyDescent="0.35">
      <c r="A5" s="14" t="s">
        <v>17</v>
      </c>
      <c r="B5" s="47">
        <v>8.7738095238095237</v>
      </c>
      <c r="C5" s="47">
        <v>8.7738095238095237</v>
      </c>
      <c r="D5" s="47">
        <v>10.300925925925926</v>
      </c>
      <c r="E5" s="47">
        <v>11.280555555555553</v>
      </c>
      <c r="F5" s="47">
        <v>10.383333333333333</v>
      </c>
    </row>
    <row r="6" spans="1:9" x14ac:dyDescent="0.35">
      <c r="A6" s="170" t="s">
        <v>34</v>
      </c>
      <c r="B6" s="47">
        <v>12.142857142857142</v>
      </c>
      <c r="C6" s="47">
        <v>12.142857142857142</v>
      </c>
      <c r="D6" s="47">
        <v>11.666666666666666</v>
      </c>
      <c r="E6" s="47">
        <v>13.666666666666666</v>
      </c>
      <c r="F6" s="47">
        <v>11.5</v>
      </c>
    </row>
    <row r="7" spans="1:9" x14ac:dyDescent="0.35">
      <c r="A7" s="170" t="s">
        <v>36</v>
      </c>
      <c r="B7" s="47">
        <v>5.2857142857142856</v>
      </c>
      <c r="C7" s="47">
        <v>5.2857142857142856</v>
      </c>
      <c r="D7" s="47">
        <v>7.5</v>
      </c>
      <c r="E7" s="47">
        <v>10</v>
      </c>
      <c r="F7" s="47"/>
    </row>
    <row r="8" spans="1:9" x14ac:dyDescent="0.35">
      <c r="A8" s="170" t="s">
        <v>35</v>
      </c>
      <c r="B8" s="47">
        <v>8.8928571428571423</v>
      </c>
      <c r="C8" s="47">
        <v>8.8928571428571423</v>
      </c>
      <c r="D8" s="47">
        <v>11.736111111111112</v>
      </c>
      <c r="E8" s="47">
        <v>10.174999999999999</v>
      </c>
      <c r="F8" s="47">
        <v>9.2666666666666675</v>
      </c>
    </row>
    <row r="9" spans="1:9" x14ac:dyDescent="0.35">
      <c r="A9" s="14" t="s">
        <v>7</v>
      </c>
      <c r="B9" s="47">
        <v>5.9772745772745779</v>
      </c>
      <c r="C9" s="47">
        <v>6.3376648246475371</v>
      </c>
      <c r="D9" s="47">
        <v>7.240113960113959</v>
      </c>
      <c r="E9" s="47">
        <v>7.3777416564873812</v>
      </c>
      <c r="F9" s="47">
        <v>7.0409999999999995</v>
      </c>
    </row>
    <row r="10" spans="1:9" x14ac:dyDescent="0.35">
      <c r="A10" s="170" t="s">
        <v>139</v>
      </c>
      <c r="B10" s="47"/>
      <c r="C10" s="47">
        <v>4.9444444444444446</v>
      </c>
      <c r="D10" s="47">
        <v>6.208333333333333</v>
      </c>
      <c r="E10" s="47">
        <v>6.4249999999999998</v>
      </c>
      <c r="F10" s="47">
        <v>5.083333333333333</v>
      </c>
    </row>
    <row r="11" spans="1:9" x14ac:dyDescent="0.35">
      <c r="A11" s="170" t="s">
        <v>21</v>
      </c>
      <c r="B11" s="47">
        <v>4.2307692307692308</v>
      </c>
      <c r="C11" s="47">
        <v>5.6754945055054948</v>
      </c>
      <c r="D11" s="47">
        <v>7.0167948717948727</v>
      </c>
      <c r="E11" s="47">
        <v>7.2720512820512822</v>
      </c>
      <c r="F11" s="47">
        <v>7.8500000000000005</v>
      </c>
    </row>
    <row r="12" spans="1:9" x14ac:dyDescent="0.35">
      <c r="A12" s="170" t="s">
        <v>22</v>
      </c>
      <c r="B12" s="47">
        <v>3.8000000000000003</v>
      </c>
      <c r="C12" s="47">
        <v>4.2228571429047621</v>
      </c>
      <c r="D12" s="47">
        <v>6.1705555555555556</v>
      </c>
      <c r="E12" s="47">
        <v>6.6085653235396817</v>
      </c>
      <c r="F12" s="47"/>
    </row>
    <row r="13" spans="1:9" x14ac:dyDescent="0.35">
      <c r="A13" s="170" t="s">
        <v>19</v>
      </c>
      <c r="B13" s="47">
        <v>6.0714285714285721</v>
      </c>
      <c r="C13" s="47">
        <v>7.3921428571428569</v>
      </c>
      <c r="D13" s="47">
        <v>7.4375</v>
      </c>
      <c r="E13" s="47">
        <v>5.814166666666666</v>
      </c>
      <c r="F13" s="47">
        <v>5.2949999999999999</v>
      </c>
    </row>
    <row r="14" spans="1:9" x14ac:dyDescent="0.35">
      <c r="A14" s="170" t="s">
        <v>20</v>
      </c>
      <c r="B14" s="47">
        <v>6.1407407407407417</v>
      </c>
      <c r="C14" s="47">
        <v>7.4598412063492061</v>
      </c>
      <c r="D14" s="47">
        <v>7.6258333333333335</v>
      </c>
      <c r="E14" s="47">
        <v>7.48</v>
      </c>
      <c r="F14" s="47">
        <v>5.376666666666666</v>
      </c>
    </row>
    <row r="15" spans="1:9" x14ac:dyDescent="0.35">
      <c r="A15" s="170" t="s">
        <v>42</v>
      </c>
      <c r="B15" s="47">
        <v>9.643434343434345</v>
      </c>
      <c r="C15" s="47">
        <v>8.3312087915384616</v>
      </c>
      <c r="D15" s="47">
        <v>8.9816666666666656</v>
      </c>
      <c r="E15" s="47">
        <v>10.666666666666666</v>
      </c>
      <c r="F15" s="47">
        <v>11.6</v>
      </c>
    </row>
    <row r="16" spans="1:9" x14ac:dyDescent="0.35">
      <c r="A16" s="14" t="s">
        <v>15</v>
      </c>
      <c r="B16" s="47">
        <v>5.9259259259259265</v>
      </c>
      <c r="C16" s="47">
        <v>4.822857142857143</v>
      </c>
      <c r="D16" s="47">
        <v>6.285000000000001</v>
      </c>
      <c r="E16" s="47">
        <v>6.7955555555555556</v>
      </c>
      <c r="F16" s="47">
        <v>9.17</v>
      </c>
    </row>
    <row r="17" spans="1:6" x14ac:dyDescent="0.35">
      <c r="A17" s="170" t="s">
        <v>33</v>
      </c>
      <c r="B17" s="47">
        <v>5.9259259259259265</v>
      </c>
      <c r="C17" s="47">
        <v>4.822857142857143</v>
      </c>
      <c r="D17" s="47">
        <v>6.285000000000001</v>
      </c>
      <c r="E17" s="47">
        <v>6.7955555555555556</v>
      </c>
      <c r="F17" s="47">
        <v>9.17</v>
      </c>
    </row>
    <row r="18" spans="1:6" x14ac:dyDescent="0.35">
      <c r="A18" s="14" t="s">
        <v>11</v>
      </c>
      <c r="B18" s="47">
        <v>7.7582352941176467</v>
      </c>
      <c r="C18" s="47">
        <v>7.3637871848739493</v>
      </c>
      <c r="D18" s="47">
        <v>7.0857142857142854</v>
      </c>
      <c r="E18" s="47">
        <v>6.5308888888888887</v>
      </c>
      <c r="F18" s="47">
        <v>7.4108333333333327</v>
      </c>
    </row>
    <row r="19" spans="1:6" x14ac:dyDescent="0.35">
      <c r="A19" s="170" t="s">
        <v>27</v>
      </c>
      <c r="B19" s="47">
        <v>8.5499999999999989</v>
      </c>
      <c r="C19" s="47">
        <v>8.1142857142857139</v>
      </c>
      <c r="D19" s="47">
        <v>8.0599999999999987</v>
      </c>
      <c r="E19" s="47">
        <v>4.2966666666666669</v>
      </c>
      <c r="F19" s="47"/>
    </row>
    <row r="20" spans="1:6" x14ac:dyDescent="0.35">
      <c r="A20" s="170" t="s">
        <v>26</v>
      </c>
      <c r="B20" s="47">
        <v>8.4166666666666661</v>
      </c>
      <c r="C20" s="47">
        <v>8.7071428571428573</v>
      </c>
      <c r="D20" s="47">
        <v>7.3916666666666666</v>
      </c>
      <c r="E20" s="47">
        <v>5.875</v>
      </c>
      <c r="F20" s="47">
        <v>5.5</v>
      </c>
    </row>
    <row r="21" spans="1:6" x14ac:dyDescent="0.35">
      <c r="A21" s="170" t="s">
        <v>24</v>
      </c>
      <c r="B21" s="47">
        <v>8.6862745098039227</v>
      </c>
      <c r="C21" s="47">
        <v>7.1806630252100847</v>
      </c>
      <c r="D21" s="47">
        <v>7.7666666666666666</v>
      </c>
      <c r="E21" s="47">
        <v>8.4222222222222225</v>
      </c>
      <c r="F21" s="47">
        <v>8.11</v>
      </c>
    </row>
    <row r="22" spans="1:6" x14ac:dyDescent="0.35">
      <c r="A22" s="170" t="s">
        <v>25</v>
      </c>
      <c r="B22" s="47">
        <v>5.38</v>
      </c>
      <c r="C22" s="47">
        <v>5.4530571428571433</v>
      </c>
      <c r="D22" s="47">
        <v>5.1245238095238097</v>
      </c>
      <c r="E22" s="47">
        <v>8.0883333333333329</v>
      </c>
      <c r="F22" s="47">
        <v>9.0333333333333332</v>
      </c>
    </row>
    <row r="23" spans="1:6" x14ac:dyDescent="0.35">
      <c r="A23" s="170" t="s">
        <v>144</v>
      </c>
      <c r="B23" s="47"/>
      <c r="C23" s="47"/>
      <c r="D23" s="47"/>
      <c r="E23" s="47">
        <v>5.9722222222222223</v>
      </c>
      <c r="F23" s="47">
        <v>7</v>
      </c>
    </row>
    <row r="24" spans="1:6" x14ac:dyDescent="0.35">
      <c r="A24" s="14" t="s">
        <v>9</v>
      </c>
      <c r="B24" s="47">
        <v>7.1603703703703703</v>
      </c>
      <c r="C24" s="47">
        <v>6.6180272121582773</v>
      </c>
      <c r="D24" s="47">
        <v>6.654936507936509</v>
      </c>
      <c r="E24" s="47">
        <v>8.2755079364973536</v>
      </c>
      <c r="F24" s="47">
        <v>8.8333015871333345</v>
      </c>
    </row>
    <row r="25" spans="1:6" x14ac:dyDescent="0.35">
      <c r="A25" s="170" t="s">
        <v>14</v>
      </c>
      <c r="B25" s="47">
        <v>11.416666666666666</v>
      </c>
      <c r="C25" s="47">
        <v>10.514285714285716</v>
      </c>
      <c r="D25" s="47">
        <v>11.828571428571429</v>
      </c>
      <c r="E25" s="47">
        <v>13.033333333333333</v>
      </c>
      <c r="F25" s="47">
        <v>14.066666666666668</v>
      </c>
    </row>
    <row r="26" spans="1:6" x14ac:dyDescent="0.35">
      <c r="A26" s="170" t="s">
        <v>16</v>
      </c>
      <c r="B26" s="47">
        <v>7.6944444444444455</v>
      </c>
      <c r="C26" s="47">
        <v>7.9877551020612243</v>
      </c>
      <c r="D26" s="47">
        <v>8.8733333333333331</v>
      </c>
      <c r="E26" s="47">
        <v>9.4514285713571429</v>
      </c>
      <c r="F26" s="47">
        <v>10.190952380000001</v>
      </c>
    </row>
    <row r="27" spans="1:6" x14ac:dyDescent="0.35">
      <c r="A27" s="170" t="s">
        <v>12</v>
      </c>
      <c r="B27" s="47">
        <v>4.416666666666667</v>
      </c>
      <c r="C27" s="47">
        <v>4.2214285714285715</v>
      </c>
      <c r="D27" s="47">
        <v>4.416666666666667</v>
      </c>
      <c r="E27" s="47">
        <v>4.291666666666667</v>
      </c>
      <c r="F27" s="47">
        <v>4.5</v>
      </c>
    </row>
    <row r="28" spans="1:6" x14ac:dyDescent="0.35">
      <c r="A28" s="170" t="s">
        <v>10</v>
      </c>
      <c r="B28" s="47">
        <v>3.0240740740740741</v>
      </c>
      <c r="C28" s="47">
        <v>4.2238095301587304</v>
      </c>
      <c r="D28" s="47">
        <v>3.9066666666666663</v>
      </c>
      <c r="E28" s="47">
        <v>4.6011111111296303</v>
      </c>
      <c r="F28" s="47">
        <v>5.408888889</v>
      </c>
    </row>
    <row r="29" spans="1:6" x14ac:dyDescent="0.35">
      <c r="A29" s="170" t="s">
        <v>18</v>
      </c>
      <c r="B29" s="47">
        <v>9.25</v>
      </c>
      <c r="C29" s="47">
        <v>6.1428571428571432</v>
      </c>
      <c r="D29" s="47">
        <v>4.2494444444444444</v>
      </c>
      <c r="E29" s="47">
        <v>10</v>
      </c>
      <c r="F29" s="47">
        <v>10</v>
      </c>
    </row>
    <row r="30" spans="1:6" x14ac:dyDescent="0.35">
      <c r="A30" s="14" t="s">
        <v>13</v>
      </c>
      <c r="B30" s="47">
        <v>5.2893939393939391</v>
      </c>
      <c r="C30" s="47">
        <v>5.3741558441558439</v>
      </c>
      <c r="D30" s="47">
        <v>5.7248821548821534</v>
      </c>
      <c r="E30" s="47">
        <v>5.9776262626414152</v>
      </c>
      <c r="F30" s="47">
        <v>5.7534343434444439</v>
      </c>
    </row>
    <row r="31" spans="1:6" x14ac:dyDescent="0.35">
      <c r="A31" s="170" t="s">
        <v>32</v>
      </c>
      <c r="B31" s="47">
        <v>5.0666666666666664</v>
      </c>
      <c r="C31" s="47">
        <v>4.5185714285714287</v>
      </c>
      <c r="D31" s="47">
        <v>4.8905555555555553</v>
      </c>
      <c r="E31" s="47">
        <v>5.6742424242424248</v>
      </c>
      <c r="F31" s="47">
        <v>4.6333333333333337</v>
      </c>
    </row>
    <row r="32" spans="1:6" x14ac:dyDescent="0.35">
      <c r="A32" s="170" t="s">
        <v>31</v>
      </c>
      <c r="B32" s="47">
        <v>6.5909090909090908</v>
      </c>
      <c r="C32" s="47">
        <v>6.1038961038961039</v>
      </c>
      <c r="D32" s="47">
        <v>6.4148484848484841</v>
      </c>
      <c r="E32" s="47">
        <v>6.3919696970151518</v>
      </c>
      <c r="F32" s="47">
        <v>7.0603030303333334</v>
      </c>
    </row>
    <row r="33" spans="1:6" x14ac:dyDescent="0.35">
      <c r="A33" s="170" t="s">
        <v>30</v>
      </c>
      <c r="B33" s="47">
        <v>4.2106060606060609</v>
      </c>
      <c r="C33" s="47">
        <v>5.5</v>
      </c>
      <c r="D33" s="47">
        <v>5.8692424242424233</v>
      </c>
      <c r="E33" s="47">
        <v>5.8666666666666671</v>
      </c>
      <c r="F33" s="47">
        <v>5.5666666666666673</v>
      </c>
    </row>
    <row r="34" spans="1:6" x14ac:dyDescent="0.35">
      <c r="A34" s="14" t="s">
        <v>46</v>
      </c>
      <c r="B34" s="47">
        <v>6.8969858204872212</v>
      </c>
      <c r="C34" s="47">
        <v>6.7199103179511663</v>
      </c>
      <c r="D34" s="47">
        <v>7.2463930766203477</v>
      </c>
      <c r="E34" s="47">
        <v>7.6899363076522604</v>
      </c>
      <c r="F34" s="47">
        <v>7.8105905482999987</v>
      </c>
    </row>
    <row r="35" spans="1:6" x14ac:dyDescent="0.35">
      <c r="C35" s="47"/>
      <c r="D35" s="47"/>
      <c r="E35" s="47"/>
    </row>
    <row r="36" spans="1:6" x14ac:dyDescent="0.35">
      <c r="C36" s="47"/>
      <c r="D36" s="47"/>
      <c r="E36" s="47"/>
    </row>
    <row r="37" spans="1:6" x14ac:dyDescent="0.35">
      <c r="C37" s="47"/>
      <c r="D37" s="47"/>
      <c r="E37" s="47"/>
    </row>
    <row r="38" spans="1:6" x14ac:dyDescent="0.35">
      <c r="C38" s="47"/>
      <c r="D38" s="47"/>
      <c r="E38" s="47"/>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10123-C498-403B-B4D0-E8D35F841589}">
  <sheetPr filterMode="1"/>
  <dimension ref="A1:BX37"/>
  <sheetViews>
    <sheetView zoomScaleNormal="100" workbookViewId="0">
      <pane xSplit="4" ySplit="1" topLeftCell="BI2" activePane="bottomRight" state="frozen"/>
      <selection pane="topRight" activeCell="D1" sqref="D1"/>
      <selection pane="bottomLeft" activeCell="A2" sqref="A2"/>
      <selection pane="bottomRight" activeCell="BV14" sqref="BV14"/>
    </sheetView>
  </sheetViews>
  <sheetFormatPr defaultRowHeight="15" customHeight="1" x14ac:dyDescent="0.35"/>
  <cols>
    <col min="1" max="1" width="10.54296875" bestFit="1" customWidth="1"/>
    <col min="2" max="2" width="13.81640625" bestFit="1" customWidth="1"/>
    <col min="3" max="3" width="13.81640625" customWidth="1"/>
    <col min="4" max="4" width="18.54296875" bestFit="1" customWidth="1"/>
    <col min="5" max="5" width="13.81640625" bestFit="1" customWidth="1"/>
    <col min="6" max="6" width="11.1796875" bestFit="1" customWidth="1"/>
    <col min="7" max="7" width="11.81640625" bestFit="1" customWidth="1"/>
    <col min="8" max="8" width="11.1796875" bestFit="1" customWidth="1"/>
    <col min="9" max="9" width="11.81640625" bestFit="1" customWidth="1"/>
    <col min="10" max="10" width="10.54296875" customWidth="1"/>
    <col min="11" max="11" width="11.1796875" style="32" bestFit="1" customWidth="1"/>
    <col min="12" max="12" width="11.81640625" style="32" bestFit="1" customWidth="1"/>
    <col min="13" max="13" width="10.54296875" style="125" customWidth="1"/>
    <col min="14" max="15" width="11.1796875" style="32" bestFit="1" customWidth="1"/>
    <col min="16" max="16" width="12.54296875" style="125" customWidth="1"/>
    <col min="17" max="17" width="10.54296875" style="33" customWidth="1"/>
    <col min="22" max="22" width="9.54296875" bestFit="1" customWidth="1"/>
    <col min="23" max="23" width="10" bestFit="1" customWidth="1"/>
    <col min="24" max="24" width="10.54296875" customWidth="1"/>
    <col min="25" max="25" width="11.1796875" style="126" bestFit="1" customWidth="1"/>
    <col min="26" max="29" width="11.1796875" style="126" customWidth="1"/>
    <col min="30" max="30" width="10.54296875" style="33" customWidth="1"/>
    <col min="34" max="34" width="8.7265625" customWidth="1"/>
    <col min="35" max="35" width="10.54296875" style="33" customWidth="1"/>
    <col min="36" max="36" width="14.453125" style="10" customWidth="1"/>
    <col min="37" max="45" width="8.7265625" customWidth="1"/>
    <col min="46" max="46" width="10.54296875" style="33" customWidth="1"/>
    <col min="51" max="52" width="9.1796875" customWidth="1"/>
    <col min="53" max="64" width="8.7265625" customWidth="1"/>
    <col min="68" max="74" width="8.7265625" customWidth="1"/>
  </cols>
  <sheetData>
    <row r="1" spans="1:76" ht="116" x14ac:dyDescent="0.35">
      <c r="A1" s="129" t="s">
        <v>1</v>
      </c>
      <c r="B1" s="129" t="s">
        <v>2</v>
      </c>
      <c r="C1" s="129" t="s">
        <v>62</v>
      </c>
      <c r="D1" s="129" t="s">
        <v>3</v>
      </c>
      <c r="E1" s="129" t="s">
        <v>115</v>
      </c>
      <c r="F1" s="67" t="s">
        <v>87</v>
      </c>
      <c r="G1" s="67" t="s">
        <v>88</v>
      </c>
      <c r="H1" s="67" t="s">
        <v>89</v>
      </c>
      <c r="I1" s="67" t="s">
        <v>90</v>
      </c>
      <c r="J1" s="68" t="s">
        <v>37</v>
      </c>
      <c r="K1" s="67" t="s">
        <v>91</v>
      </c>
      <c r="L1" s="67" t="s">
        <v>92</v>
      </c>
      <c r="M1" s="68" t="s">
        <v>37</v>
      </c>
      <c r="N1" s="67" t="s">
        <v>93</v>
      </c>
      <c r="O1" s="67" t="s">
        <v>94</v>
      </c>
      <c r="P1" s="68" t="s">
        <v>37</v>
      </c>
      <c r="Q1" s="25" t="s">
        <v>114</v>
      </c>
      <c r="R1" s="9" t="s">
        <v>111</v>
      </c>
      <c r="S1" s="25" t="s">
        <v>112</v>
      </c>
      <c r="T1" s="25" t="s">
        <v>110</v>
      </c>
      <c r="U1" s="25" t="s">
        <v>113</v>
      </c>
      <c r="V1" s="67" t="s">
        <v>95</v>
      </c>
      <c r="W1" s="67" t="s">
        <v>138</v>
      </c>
      <c r="X1" s="68" t="s">
        <v>37</v>
      </c>
      <c r="Y1" s="67" t="s">
        <v>96</v>
      </c>
      <c r="Z1" s="69" t="s">
        <v>97</v>
      </c>
      <c r="AA1" s="69" t="s">
        <v>98</v>
      </c>
      <c r="AB1" s="69" t="s">
        <v>99</v>
      </c>
      <c r="AC1" s="69" t="s">
        <v>100</v>
      </c>
      <c r="AD1" s="25" t="s">
        <v>105</v>
      </c>
      <c r="AE1" s="9" t="s">
        <v>106</v>
      </c>
      <c r="AF1" s="25" t="s">
        <v>107</v>
      </c>
      <c r="AG1" s="25" t="s">
        <v>108</v>
      </c>
      <c r="AH1" s="25" t="s">
        <v>109</v>
      </c>
      <c r="AI1" s="70" t="s">
        <v>37</v>
      </c>
      <c r="AJ1" s="9" t="s">
        <v>38</v>
      </c>
      <c r="AK1" s="68" t="s">
        <v>39</v>
      </c>
      <c r="AL1" s="68" t="s">
        <v>40</v>
      </c>
      <c r="AM1" s="68" t="s">
        <v>41</v>
      </c>
      <c r="AN1" s="34" t="s">
        <v>52</v>
      </c>
      <c r="AO1" s="34" t="s">
        <v>53</v>
      </c>
      <c r="AP1" s="34" t="s">
        <v>54</v>
      </c>
      <c r="AQ1" s="34" t="s">
        <v>55</v>
      </c>
      <c r="AR1" s="34" t="s">
        <v>56</v>
      </c>
      <c r="AS1" s="34" t="s">
        <v>102</v>
      </c>
      <c r="AT1" s="25" t="s">
        <v>101</v>
      </c>
      <c r="AU1" s="9" t="s">
        <v>104</v>
      </c>
      <c r="AV1" s="25" t="s">
        <v>103</v>
      </c>
      <c r="AW1" s="25" t="s">
        <v>198</v>
      </c>
      <c r="AX1" s="25" t="s">
        <v>199</v>
      </c>
      <c r="AY1" s="34" t="s">
        <v>149</v>
      </c>
      <c r="AZ1" s="34" t="s">
        <v>150</v>
      </c>
      <c r="BA1" s="34" t="s">
        <v>151</v>
      </c>
      <c r="BB1" s="34" t="s">
        <v>152</v>
      </c>
      <c r="BC1" s="34" t="s">
        <v>153</v>
      </c>
      <c r="BD1" s="34" t="s">
        <v>154</v>
      </c>
      <c r="BE1" s="25" t="s">
        <v>155</v>
      </c>
      <c r="BF1" s="9" t="s">
        <v>156</v>
      </c>
      <c r="BG1" s="25" t="s">
        <v>157</v>
      </c>
      <c r="BH1" s="25" t="s">
        <v>222</v>
      </c>
      <c r="BI1" s="25" t="s">
        <v>223</v>
      </c>
      <c r="BJ1" s="147" t="s">
        <v>193</v>
      </c>
      <c r="BK1" s="147" t="s">
        <v>194</v>
      </c>
      <c r="BL1" s="149" t="s">
        <v>195</v>
      </c>
      <c r="BM1" s="34" t="s">
        <v>227</v>
      </c>
      <c r="BN1" s="34" t="s">
        <v>228</v>
      </c>
      <c r="BO1" s="34" t="s">
        <v>229</v>
      </c>
      <c r="BP1" s="34" t="s">
        <v>230</v>
      </c>
      <c r="BQ1" s="34" t="s">
        <v>231</v>
      </c>
      <c r="BR1" s="34" t="s">
        <v>232</v>
      </c>
      <c r="BS1" s="34" t="s">
        <v>232</v>
      </c>
      <c r="BT1" s="25" t="s">
        <v>155</v>
      </c>
      <c r="BU1" s="9" t="s">
        <v>156</v>
      </c>
      <c r="BV1" s="25" t="s">
        <v>157</v>
      </c>
      <c r="BW1" s="25" t="s">
        <v>233</v>
      </c>
      <c r="BX1" s="25" t="s">
        <v>234</v>
      </c>
    </row>
    <row r="2" spans="1:76" ht="14.5" hidden="1" x14ac:dyDescent="0.35">
      <c r="A2" s="71" t="s">
        <v>4</v>
      </c>
      <c r="B2" s="72" t="s">
        <v>8</v>
      </c>
      <c r="C2" s="57" t="s">
        <v>7</v>
      </c>
      <c r="D2" s="73" t="s">
        <v>139</v>
      </c>
      <c r="E2" s="72" t="s">
        <v>116</v>
      </c>
      <c r="F2" s="3"/>
      <c r="G2" s="3"/>
      <c r="H2" s="3"/>
      <c r="I2" s="3"/>
      <c r="J2" s="3"/>
      <c r="K2" s="74"/>
      <c r="L2" s="74"/>
      <c r="M2" s="74"/>
      <c r="N2" s="75"/>
      <c r="O2" s="75"/>
      <c r="P2" s="75"/>
      <c r="Q2" s="3">
        <v>0</v>
      </c>
      <c r="R2">
        <f>SUM(N2:P2)</f>
        <v>0</v>
      </c>
      <c r="S2">
        <v>0</v>
      </c>
      <c r="T2" s="47">
        <v>0</v>
      </c>
      <c r="U2" s="47">
        <v>0</v>
      </c>
      <c r="V2" s="75"/>
      <c r="W2" s="75"/>
      <c r="X2" s="75"/>
      <c r="Y2" s="6"/>
      <c r="Z2" s="76"/>
      <c r="AA2" s="76">
        <v>28</v>
      </c>
      <c r="AB2" s="76">
        <v>22</v>
      </c>
      <c r="AC2" s="76">
        <v>39</v>
      </c>
      <c r="AD2" s="3">
        <v>6</v>
      </c>
      <c r="AE2">
        <f>SUM(AA2:AC2)</f>
        <v>89</v>
      </c>
      <c r="AF2">
        <v>3</v>
      </c>
      <c r="AG2" s="47">
        <f>AE2/AF2</f>
        <v>29.666666666666668</v>
      </c>
      <c r="AH2" s="47">
        <f>AG2*2</f>
        <v>59.333333333333336</v>
      </c>
      <c r="AI2" s="76">
        <v>6</v>
      </c>
      <c r="AJ2" s="77">
        <f>F2+G2+H2+I2+K2+L2+N2+O2+V2+W2+Y2+Z2+AA2+AB2+AC2</f>
        <v>89</v>
      </c>
      <c r="AK2">
        <v>3</v>
      </c>
      <c r="AL2" s="12">
        <f>AJ2/AK2</f>
        <v>29.666666666666668</v>
      </c>
      <c r="AM2" s="12">
        <f>AL2*2</f>
        <v>59.333333333333336</v>
      </c>
      <c r="AN2">
        <v>13</v>
      </c>
      <c r="AO2">
        <v>27</v>
      </c>
      <c r="AP2">
        <v>33</v>
      </c>
      <c r="AQ2">
        <v>22</v>
      </c>
      <c r="AR2">
        <v>12</v>
      </c>
      <c r="AS2">
        <v>42</v>
      </c>
      <c r="AT2" s="3">
        <v>4</v>
      </c>
      <c r="AU2">
        <f t="shared" ref="AU2:AU9" si="0">SUM(AN2:AS2)</f>
        <v>149</v>
      </c>
      <c r="AV2">
        <v>6</v>
      </c>
      <c r="AW2" s="47">
        <f>AU2/AV2</f>
        <v>24.833333333333332</v>
      </c>
      <c r="AX2" s="47">
        <f>AW2*2</f>
        <v>49.666666666666664</v>
      </c>
      <c r="AY2" s="139">
        <v>29</v>
      </c>
      <c r="AZ2" s="139">
        <v>23</v>
      </c>
      <c r="BA2">
        <v>14</v>
      </c>
      <c r="BB2" s="78">
        <v>13</v>
      </c>
      <c r="BC2" s="78">
        <v>27</v>
      </c>
      <c r="BD2">
        <v>32</v>
      </c>
      <c r="BE2">
        <v>4</v>
      </c>
      <c r="BF2" s="78">
        <f t="shared" ref="BF2:BF9" si="1">SUM(AY2:BD2)</f>
        <v>138</v>
      </c>
      <c r="BG2">
        <v>6</v>
      </c>
      <c r="BH2" s="79">
        <f>BF2/BG2</f>
        <v>23</v>
      </c>
      <c r="BI2" s="79">
        <f>BH2*2</f>
        <v>46</v>
      </c>
      <c r="BJ2" s="148" t="str">
        <f t="shared" ref="BJ2:BJ33" si="2">IF(OR($D2="",$AW2="",$BH2=""),"",IFERROR(IF(VALUE($BH2)&gt;VALUE($AW2),"▲ "&amp;TEXT(VALUE($BH2)-VALUE($AW2),"0.00"),IF(VALUE($BH2)&lt;VALUE($AW2),"▼ "&amp;TEXT(VALUE($AW2)-VALUE($BH2),"0.00"),"● 0.00")),""))</f>
        <v>▼ 1.83</v>
      </c>
      <c r="BK2">
        <f t="shared" ref="BK2:BK26" si="3">SUM(AN2:AQ2)/4</f>
        <v>23.75</v>
      </c>
      <c r="BL2" s="150" t="str">
        <f t="shared" ref="BL2:BL33" si="4">IF(OR(BK2="",BH2="",NOT(ISNUMBER(BK2)),NOT(ISNUMBER(BH2))),"",IF(BH2&gt;BK2,"▲ "&amp;TEXT(ABS(BH2-BK2),"0.00"),IF(BH2&lt;BK2,"▼ "&amp;TEXT(ABS(BH2-BK2),"0.00"),"● 0.00")))</f>
        <v>▼ 0.75</v>
      </c>
      <c r="BM2" s="139">
        <v>32</v>
      </c>
      <c r="BN2" s="139">
        <v>29</v>
      </c>
      <c r="BP2" s="78"/>
      <c r="BQ2" s="78"/>
      <c r="BT2">
        <v>4</v>
      </c>
      <c r="BU2" s="78">
        <f>SUM(BM2:BS2)</f>
        <v>61</v>
      </c>
      <c r="BV2">
        <v>2</v>
      </c>
      <c r="BW2" s="79">
        <f>BU2/BV2</f>
        <v>30.5</v>
      </c>
      <c r="BX2" s="79">
        <f>BW2*2</f>
        <v>61</v>
      </c>
    </row>
    <row r="3" spans="1:76" ht="14.5" hidden="1" x14ac:dyDescent="0.35">
      <c r="A3" s="71" t="s">
        <v>4</v>
      </c>
      <c r="B3" s="72" t="s">
        <v>8</v>
      </c>
      <c r="C3" s="57" t="s">
        <v>7</v>
      </c>
      <c r="D3" s="73" t="s">
        <v>42</v>
      </c>
      <c r="E3" s="72" t="s">
        <v>116</v>
      </c>
      <c r="F3" s="3">
        <v>67</v>
      </c>
      <c r="G3" s="3">
        <v>74</v>
      </c>
      <c r="H3" s="3">
        <v>75</v>
      </c>
      <c r="I3" s="3">
        <v>55</v>
      </c>
      <c r="J3" s="3">
        <v>7</v>
      </c>
      <c r="K3" s="74">
        <v>49</v>
      </c>
      <c r="L3" s="74">
        <v>54</v>
      </c>
      <c r="M3" s="74">
        <v>6</v>
      </c>
      <c r="N3" s="75">
        <v>54</v>
      </c>
      <c r="O3" s="75">
        <v>56</v>
      </c>
      <c r="P3" s="75">
        <v>6</v>
      </c>
      <c r="Q3" s="35">
        <v>6.5</v>
      </c>
      <c r="R3">
        <f>SUM(H3:O3)</f>
        <v>356</v>
      </c>
      <c r="S3">
        <v>6</v>
      </c>
      <c r="T3" s="47">
        <f>R3/S3</f>
        <v>59.333333333333336</v>
      </c>
      <c r="U3" s="47">
        <f>T3*2</f>
        <v>118.66666666666667</v>
      </c>
      <c r="V3" s="75">
        <v>59</v>
      </c>
      <c r="W3" s="75">
        <v>53</v>
      </c>
      <c r="X3" s="75">
        <v>6.5</v>
      </c>
      <c r="Y3" s="6">
        <v>52</v>
      </c>
      <c r="Z3" s="76">
        <v>67</v>
      </c>
      <c r="AA3" s="76">
        <v>69</v>
      </c>
      <c r="AB3" s="76">
        <v>55</v>
      </c>
      <c r="AC3" s="76">
        <v>24</v>
      </c>
      <c r="AD3" s="35">
        <v>6.5</v>
      </c>
      <c r="AE3">
        <f>SUM(V3:AC3)</f>
        <v>385.5</v>
      </c>
      <c r="AF3">
        <v>7</v>
      </c>
      <c r="AG3" s="47">
        <f>AE3/AF3</f>
        <v>55.071428571428569</v>
      </c>
      <c r="AH3" s="47">
        <f>AG3*2</f>
        <v>110.14285714285714</v>
      </c>
      <c r="AI3" s="76">
        <v>6.5</v>
      </c>
      <c r="AJ3" s="77">
        <f>F3+G3+H3+I3+K3+L3+N3+O3+V3+W3+Y3+Z3+AA3+AB3+AC3</f>
        <v>863</v>
      </c>
      <c r="AK3">
        <v>15</v>
      </c>
      <c r="AL3" s="12">
        <f>AJ3/AK3</f>
        <v>57.533333333333331</v>
      </c>
      <c r="AM3" s="12">
        <f>AL3*2</f>
        <v>115.06666666666666</v>
      </c>
      <c r="AN3">
        <v>43</v>
      </c>
      <c r="AO3">
        <v>40</v>
      </c>
      <c r="AP3">
        <v>46</v>
      </c>
      <c r="AQ3">
        <v>52</v>
      </c>
      <c r="AR3">
        <v>49</v>
      </c>
      <c r="AS3">
        <v>52</v>
      </c>
      <c r="AT3" s="35">
        <v>5.5</v>
      </c>
      <c r="AU3">
        <f t="shared" si="0"/>
        <v>282</v>
      </c>
      <c r="AV3">
        <v>6</v>
      </c>
      <c r="AW3" s="47">
        <f t="shared" ref="AW3:AW9" si="5">AU3/AV3</f>
        <v>47</v>
      </c>
      <c r="AX3" s="47">
        <f t="shared" ref="AX3:AX31" si="6">AW3*2</f>
        <v>94</v>
      </c>
      <c r="AY3" s="139">
        <v>50</v>
      </c>
      <c r="AZ3" s="139">
        <v>53</v>
      </c>
      <c r="BA3">
        <v>53</v>
      </c>
      <c r="BB3" s="78">
        <v>52</v>
      </c>
      <c r="BC3" s="78">
        <v>53</v>
      </c>
      <c r="BD3">
        <v>59</v>
      </c>
      <c r="BE3">
        <v>5</v>
      </c>
      <c r="BF3" s="78">
        <f t="shared" si="1"/>
        <v>320</v>
      </c>
      <c r="BG3">
        <v>6</v>
      </c>
      <c r="BH3" s="79">
        <f t="shared" ref="BH3:BH26" si="7">BF3/BG3</f>
        <v>53.333333333333336</v>
      </c>
      <c r="BI3" s="79">
        <f t="shared" ref="BI3:BI26" si="8">BH3*2</f>
        <v>106.66666666666667</v>
      </c>
      <c r="BJ3" s="148" t="str">
        <f t="shared" si="2"/>
        <v>▲ 6.33</v>
      </c>
      <c r="BK3">
        <f t="shared" si="3"/>
        <v>45.25</v>
      </c>
      <c r="BL3" s="150" t="str">
        <f t="shared" si="4"/>
        <v>▲ 8.08</v>
      </c>
      <c r="BM3" s="139">
        <v>54</v>
      </c>
      <c r="BN3" s="139">
        <v>69</v>
      </c>
      <c r="BO3">
        <v>51</v>
      </c>
      <c r="BP3" s="78"/>
      <c r="BQ3" s="78"/>
      <c r="BT3">
        <v>5</v>
      </c>
      <c r="BU3" s="78">
        <f t="shared" ref="BU3:BU26" si="9">SUM(BM3:BS3)</f>
        <v>174</v>
      </c>
      <c r="BV3">
        <v>3</v>
      </c>
      <c r="BW3" s="79">
        <f t="shared" ref="BW3:BW26" si="10">BU3/BV3</f>
        <v>58</v>
      </c>
      <c r="BX3" s="79">
        <f t="shared" ref="BX3:BX26" si="11">BW3*2</f>
        <v>116</v>
      </c>
    </row>
    <row r="4" spans="1:76" ht="14.5" hidden="1" x14ac:dyDescent="0.35">
      <c r="A4" s="71" t="s">
        <v>4</v>
      </c>
      <c r="B4" s="72" t="s">
        <v>8</v>
      </c>
      <c r="C4" s="57" t="s">
        <v>9</v>
      </c>
      <c r="D4" s="72" t="s">
        <v>10</v>
      </c>
      <c r="E4" s="72" t="s">
        <v>116</v>
      </c>
      <c r="F4" s="3">
        <v>28</v>
      </c>
      <c r="G4" s="3">
        <v>28</v>
      </c>
      <c r="H4" s="3">
        <v>20</v>
      </c>
      <c r="I4" s="3">
        <v>26</v>
      </c>
      <c r="J4" s="3">
        <v>9</v>
      </c>
      <c r="K4" s="74">
        <v>30</v>
      </c>
      <c r="L4" s="74">
        <v>27</v>
      </c>
      <c r="M4" s="74">
        <v>9</v>
      </c>
      <c r="N4" s="75">
        <v>22</v>
      </c>
      <c r="O4" s="75">
        <v>39</v>
      </c>
      <c r="P4" s="75">
        <v>9</v>
      </c>
      <c r="Q4" s="6">
        <v>9</v>
      </c>
      <c r="R4">
        <f t="shared" ref="R4:R25" si="12">SUM(H4:O4)</f>
        <v>182</v>
      </c>
      <c r="S4">
        <v>6</v>
      </c>
      <c r="T4" s="47">
        <f t="shared" ref="T4:T25" si="13">R4/S4</f>
        <v>30.333333333333332</v>
      </c>
      <c r="U4" s="47">
        <f t="shared" ref="U4:U25" si="14">T4*2</f>
        <v>60.666666666666664</v>
      </c>
      <c r="V4" s="75">
        <v>35</v>
      </c>
      <c r="W4" s="75">
        <v>45</v>
      </c>
      <c r="X4" s="75">
        <v>9</v>
      </c>
      <c r="Y4" s="6">
        <v>36</v>
      </c>
      <c r="Z4" s="76">
        <v>32</v>
      </c>
      <c r="AA4" s="76">
        <v>36.5</v>
      </c>
      <c r="AB4" s="76">
        <v>35.5</v>
      </c>
      <c r="AC4" s="76">
        <v>46</v>
      </c>
      <c r="AD4" s="6">
        <v>9</v>
      </c>
      <c r="AE4">
        <f>SUM(V4:AC4)</f>
        <v>275</v>
      </c>
      <c r="AF4">
        <v>7</v>
      </c>
      <c r="AG4" s="47">
        <f>AE4/AF4</f>
        <v>39.285714285714285</v>
      </c>
      <c r="AH4" s="47">
        <f>AG4*2</f>
        <v>78.571428571428569</v>
      </c>
      <c r="AI4" s="76">
        <v>9</v>
      </c>
      <c r="AJ4" s="77">
        <f t="shared" ref="AJ4:AJ25" si="15">F4+G4+H4+I4+K4+L4+N4+O4+V4+W4+Y4+Z4+AA4+AB4+AC4</f>
        <v>486</v>
      </c>
      <c r="AK4">
        <v>15</v>
      </c>
      <c r="AL4" s="12">
        <f t="shared" ref="AL4:AL25" si="16">AJ4/AK4</f>
        <v>32.4</v>
      </c>
      <c r="AM4" s="12">
        <f t="shared" ref="AM4:AM25" si="17">AL4*2</f>
        <v>64.8</v>
      </c>
      <c r="AN4">
        <v>27</v>
      </c>
      <c r="AO4">
        <v>39</v>
      </c>
      <c r="AP4">
        <v>36</v>
      </c>
      <c r="AQ4">
        <v>39</v>
      </c>
      <c r="AR4">
        <v>38</v>
      </c>
      <c r="AS4">
        <v>32</v>
      </c>
      <c r="AT4" s="6">
        <v>9</v>
      </c>
      <c r="AU4">
        <f t="shared" si="0"/>
        <v>211</v>
      </c>
      <c r="AV4">
        <v>6</v>
      </c>
      <c r="AW4" s="47">
        <f t="shared" si="5"/>
        <v>35.166666666666664</v>
      </c>
      <c r="AX4" s="47">
        <f t="shared" si="6"/>
        <v>70.333333333333329</v>
      </c>
      <c r="AY4" s="139">
        <v>37</v>
      </c>
      <c r="AZ4" s="139">
        <v>34</v>
      </c>
      <c r="BA4">
        <v>37</v>
      </c>
      <c r="BB4" s="78">
        <v>44</v>
      </c>
      <c r="BC4">
        <v>48</v>
      </c>
      <c r="BD4">
        <v>48.5</v>
      </c>
      <c r="BE4">
        <v>9</v>
      </c>
      <c r="BF4" s="78">
        <f t="shared" si="1"/>
        <v>248.5</v>
      </c>
      <c r="BG4">
        <v>6</v>
      </c>
      <c r="BH4" s="79">
        <f t="shared" si="7"/>
        <v>41.416666666666664</v>
      </c>
      <c r="BI4" s="79">
        <f t="shared" si="8"/>
        <v>82.833333333333329</v>
      </c>
      <c r="BJ4" s="148" t="str">
        <f t="shared" si="2"/>
        <v>▲ 6.25</v>
      </c>
      <c r="BK4">
        <f t="shared" si="3"/>
        <v>35.25</v>
      </c>
      <c r="BL4" s="150" t="str">
        <f t="shared" si="4"/>
        <v>▲ 6.17</v>
      </c>
      <c r="BM4" s="139">
        <v>45</v>
      </c>
      <c r="BN4" s="139">
        <v>50</v>
      </c>
      <c r="BO4">
        <v>51</v>
      </c>
      <c r="BP4" s="78"/>
      <c r="BT4">
        <v>9</v>
      </c>
      <c r="BU4" s="78">
        <f t="shared" si="9"/>
        <v>146</v>
      </c>
      <c r="BV4">
        <v>3</v>
      </c>
      <c r="BW4" s="79">
        <f t="shared" si="10"/>
        <v>48.666666666666664</v>
      </c>
      <c r="BX4" s="79">
        <f t="shared" si="11"/>
        <v>97.333333333333329</v>
      </c>
    </row>
    <row r="5" spans="1:76" ht="14.5" hidden="1" x14ac:dyDescent="0.35">
      <c r="A5" s="71" t="s">
        <v>4</v>
      </c>
      <c r="B5" s="72" t="s">
        <v>8</v>
      </c>
      <c r="C5" s="57" t="s">
        <v>9</v>
      </c>
      <c r="D5" s="80" t="s">
        <v>12</v>
      </c>
      <c r="E5" s="72" t="s">
        <v>116</v>
      </c>
      <c r="F5" s="81">
        <v>8.5</v>
      </c>
      <c r="G5" s="81">
        <v>8</v>
      </c>
      <c r="H5" s="81">
        <v>10.5</v>
      </c>
      <c r="I5" s="81">
        <v>10</v>
      </c>
      <c r="J5" s="81">
        <v>2</v>
      </c>
      <c r="K5" s="82">
        <v>8.5</v>
      </c>
      <c r="L5" s="82">
        <v>8</v>
      </c>
      <c r="M5" s="82">
        <v>2</v>
      </c>
      <c r="N5" s="83">
        <v>6.5</v>
      </c>
      <c r="O5" s="83">
        <v>9.5</v>
      </c>
      <c r="P5" s="83">
        <v>2</v>
      </c>
      <c r="Q5" s="21">
        <v>2</v>
      </c>
      <c r="R5">
        <f t="shared" si="12"/>
        <v>57</v>
      </c>
      <c r="S5">
        <v>6</v>
      </c>
      <c r="T5" s="47">
        <f t="shared" si="13"/>
        <v>9.5</v>
      </c>
      <c r="U5" s="47">
        <f t="shared" si="14"/>
        <v>19</v>
      </c>
      <c r="V5" s="83">
        <v>8.5</v>
      </c>
      <c r="W5" s="83">
        <v>8</v>
      </c>
      <c r="X5" s="83">
        <v>2</v>
      </c>
      <c r="Y5" s="84">
        <v>7</v>
      </c>
      <c r="Z5" s="21">
        <v>10</v>
      </c>
      <c r="AA5" s="76">
        <v>9</v>
      </c>
      <c r="AB5" s="76">
        <v>8.5</v>
      </c>
      <c r="AC5" s="76">
        <v>8</v>
      </c>
      <c r="AD5" s="21">
        <v>2</v>
      </c>
      <c r="AE5">
        <f t="shared" ref="AE5:AE25" si="18">SUM(V5:AC5)</f>
        <v>61</v>
      </c>
      <c r="AF5">
        <v>7</v>
      </c>
      <c r="AG5" s="47">
        <f t="shared" ref="AG5:AG25" si="19">AE5/AF5</f>
        <v>8.7142857142857135</v>
      </c>
      <c r="AH5" s="47">
        <f t="shared" ref="AH5:AH25" si="20">AG5*2</f>
        <v>17.428571428571427</v>
      </c>
      <c r="AI5" s="76">
        <v>2</v>
      </c>
      <c r="AJ5" s="77">
        <f t="shared" si="15"/>
        <v>128.5</v>
      </c>
      <c r="AK5">
        <v>15</v>
      </c>
      <c r="AL5" s="12">
        <f t="shared" si="16"/>
        <v>8.5666666666666664</v>
      </c>
      <c r="AM5" s="12">
        <f t="shared" si="17"/>
        <v>17.133333333333333</v>
      </c>
      <c r="AN5">
        <v>6.5</v>
      </c>
      <c r="AO5">
        <v>8.5</v>
      </c>
      <c r="AP5">
        <v>9.5</v>
      </c>
      <c r="AQ5">
        <v>10</v>
      </c>
      <c r="AR5">
        <v>12</v>
      </c>
      <c r="AS5">
        <v>6.5</v>
      </c>
      <c r="AT5" s="21">
        <v>2</v>
      </c>
      <c r="AU5">
        <f t="shared" si="0"/>
        <v>53</v>
      </c>
      <c r="AV5">
        <v>6</v>
      </c>
      <c r="AW5" s="47">
        <f t="shared" si="5"/>
        <v>8.8333333333333339</v>
      </c>
      <c r="AX5" s="47">
        <f t="shared" si="6"/>
        <v>17.666666666666668</v>
      </c>
      <c r="AY5" s="139">
        <v>8.5</v>
      </c>
      <c r="AZ5" s="139">
        <v>8</v>
      </c>
      <c r="BA5">
        <v>9</v>
      </c>
      <c r="BB5" s="78">
        <v>10</v>
      </c>
      <c r="BC5">
        <v>8</v>
      </c>
      <c r="BD5">
        <v>8</v>
      </c>
      <c r="BE5">
        <v>2</v>
      </c>
      <c r="BF5" s="78">
        <f t="shared" si="1"/>
        <v>51.5</v>
      </c>
      <c r="BG5">
        <v>6</v>
      </c>
      <c r="BH5" s="79">
        <f t="shared" si="7"/>
        <v>8.5833333333333339</v>
      </c>
      <c r="BI5" s="79">
        <f t="shared" si="8"/>
        <v>17.166666666666668</v>
      </c>
      <c r="BJ5" s="148" t="str">
        <f t="shared" si="2"/>
        <v>▼ 0.25</v>
      </c>
      <c r="BK5">
        <f t="shared" si="3"/>
        <v>8.625</v>
      </c>
      <c r="BL5" s="150" t="str">
        <f t="shared" si="4"/>
        <v>▼ 0.04</v>
      </c>
      <c r="BM5" s="139">
        <v>6.5</v>
      </c>
      <c r="BN5" s="139">
        <v>10</v>
      </c>
      <c r="BO5">
        <v>10.5</v>
      </c>
      <c r="BP5" s="78"/>
      <c r="BT5">
        <v>2</v>
      </c>
      <c r="BU5" s="78">
        <f t="shared" si="9"/>
        <v>27</v>
      </c>
      <c r="BV5">
        <v>3</v>
      </c>
      <c r="BW5" s="79">
        <f t="shared" si="10"/>
        <v>9</v>
      </c>
      <c r="BX5" s="79">
        <f t="shared" si="11"/>
        <v>18</v>
      </c>
    </row>
    <row r="6" spans="1:76" ht="14.5" x14ac:dyDescent="0.35">
      <c r="A6" s="71" t="s">
        <v>4</v>
      </c>
      <c r="B6" s="72" t="s">
        <v>8</v>
      </c>
      <c r="C6" s="57" t="s">
        <v>9</v>
      </c>
      <c r="D6" s="72" t="s">
        <v>14</v>
      </c>
      <c r="E6" s="72" t="s">
        <v>116</v>
      </c>
      <c r="F6" s="81">
        <v>47</v>
      </c>
      <c r="G6" s="3">
        <v>43</v>
      </c>
      <c r="H6" s="81">
        <v>60</v>
      </c>
      <c r="I6" s="3">
        <v>75</v>
      </c>
      <c r="J6" s="81">
        <v>6</v>
      </c>
      <c r="K6" s="82">
        <v>80</v>
      </c>
      <c r="L6" s="82">
        <v>47</v>
      </c>
      <c r="M6" s="82">
        <v>6</v>
      </c>
      <c r="N6" s="82">
        <v>82</v>
      </c>
      <c r="O6" s="82">
        <v>67</v>
      </c>
      <c r="P6" s="82">
        <v>6</v>
      </c>
      <c r="Q6" s="7">
        <v>5</v>
      </c>
      <c r="R6">
        <f t="shared" si="12"/>
        <v>423</v>
      </c>
      <c r="S6">
        <v>6</v>
      </c>
      <c r="T6" s="47">
        <f t="shared" si="13"/>
        <v>70.5</v>
      </c>
      <c r="U6" s="47">
        <f t="shared" si="14"/>
        <v>141</v>
      </c>
      <c r="V6" s="83">
        <v>56</v>
      </c>
      <c r="W6" s="83">
        <v>57</v>
      </c>
      <c r="X6" s="1">
        <v>5</v>
      </c>
      <c r="Y6" s="84">
        <v>54</v>
      </c>
      <c r="Z6" s="85">
        <v>50</v>
      </c>
      <c r="AA6" s="76">
        <v>60</v>
      </c>
      <c r="AB6" s="76">
        <v>55</v>
      </c>
      <c r="AC6" s="76">
        <v>36</v>
      </c>
      <c r="AD6" s="7">
        <v>5</v>
      </c>
      <c r="AE6">
        <f t="shared" si="18"/>
        <v>373</v>
      </c>
      <c r="AF6">
        <v>7</v>
      </c>
      <c r="AG6" s="47">
        <f t="shared" si="19"/>
        <v>53.285714285714285</v>
      </c>
      <c r="AH6" s="47">
        <f t="shared" si="20"/>
        <v>106.57142857142857</v>
      </c>
      <c r="AI6" s="76">
        <v>5</v>
      </c>
      <c r="AJ6" s="77">
        <f t="shared" si="15"/>
        <v>869</v>
      </c>
      <c r="AK6">
        <v>15</v>
      </c>
      <c r="AL6" s="12">
        <f t="shared" si="16"/>
        <v>57.93333333333333</v>
      </c>
      <c r="AM6" s="12">
        <f t="shared" si="17"/>
        <v>115.86666666666666</v>
      </c>
      <c r="AN6">
        <v>57</v>
      </c>
      <c r="AO6">
        <v>65</v>
      </c>
      <c r="AP6">
        <v>63</v>
      </c>
      <c r="AQ6">
        <v>60</v>
      </c>
      <c r="AR6">
        <v>62</v>
      </c>
      <c r="AS6">
        <v>67</v>
      </c>
      <c r="AT6" s="7">
        <v>5</v>
      </c>
      <c r="AU6">
        <f t="shared" si="0"/>
        <v>374</v>
      </c>
      <c r="AV6">
        <v>6</v>
      </c>
      <c r="AW6" s="47">
        <f t="shared" si="5"/>
        <v>62.333333333333336</v>
      </c>
      <c r="AX6" s="47">
        <f t="shared" si="6"/>
        <v>124.66666666666667</v>
      </c>
      <c r="AY6" s="139">
        <v>64</v>
      </c>
      <c r="AZ6" s="139">
        <v>71</v>
      </c>
      <c r="BA6">
        <v>66</v>
      </c>
      <c r="BB6" s="78">
        <v>70</v>
      </c>
      <c r="BC6">
        <v>60</v>
      </c>
      <c r="BD6">
        <v>60</v>
      </c>
      <c r="BE6">
        <v>5</v>
      </c>
      <c r="BF6" s="78">
        <f>SUM(AY6:BD6)</f>
        <v>391</v>
      </c>
      <c r="BG6">
        <v>6</v>
      </c>
      <c r="BH6" s="79">
        <f t="shared" si="7"/>
        <v>65.166666666666671</v>
      </c>
      <c r="BI6" s="79">
        <f t="shared" si="8"/>
        <v>130.33333333333334</v>
      </c>
      <c r="BJ6" s="148" t="str">
        <f t="shared" si="2"/>
        <v>▲ 2.83</v>
      </c>
      <c r="BK6">
        <f t="shared" si="3"/>
        <v>61.25</v>
      </c>
      <c r="BL6" s="150" t="str">
        <f t="shared" si="4"/>
        <v>▲ 3.92</v>
      </c>
      <c r="BM6" s="139">
        <v>66</v>
      </c>
      <c r="BN6" s="139">
        <v>56</v>
      </c>
      <c r="BO6">
        <v>60</v>
      </c>
      <c r="BP6" s="78"/>
      <c r="BT6">
        <v>4</v>
      </c>
      <c r="BU6" s="78">
        <f t="shared" si="9"/>
        <v>182</v>
      </c>
      <c r="BV6">
        <v>3</v>
      </c>
      <c r="BW6" s="79">
        <f t="shared" si="10"/>
        <v>60.666666666666664</v>
      </c>
      <c r="BX6" s="79">
        <f t="shared" si="11"/>
        <v>121.33333333333333</v>
      </c>
    </row>
    <row r="7" spans="1:76" ht="14.5" x14ac:dyDescent="0.35">
      <c r="A7" s="71" t="s">
        <v>4</v>
      </c>
      <c r="B7" s="72" t="s">
        <v>8</v>
      </c>
      <c r="C7" s="57" t="s">
        <v>9</v>
      </c>
      <c r="D7" s="72" t="s">
        <v>16</v>
      </c>
      <c r="E7" s="72" t="s">
        <v>116</v>
      </c>
      <c r="F7" s="86">
        <v>42</v>
      </c>
      <c r="G7" s="3">
        <v>38</v>
      </c>
      <c r="H7" s="86">
        <v>44</v>
      </c>
      <c r="I7" s="3">
        <v>51</v>
      </c>
      <c r="J7" s="86">
        <v>6</v>
      </c>
      <c r="K7" s="87">
        <v>49</v>
      </c>
      <c r="L7" s="88">
        <v>48</v>
      </c>
      <c r="M7" s="87">
        <v>6</v>
      </c>
      <c r="N7" s="82">
        <v>35</v>
      </c>
      <c r="O7" s="82">
        <v>50</v>
      </c>
      <c r="P7" s="82">
        <v>6</v>
      </c>
      <c r="Q7" s="7">
        <v>7</v>
      </c>
      <c r="R7">
        <f t="shared" si="12"/>
        <v>289</v>
      </c>
      <c r="S7">
        <v>6</v>
      </c>
      <c r="T7" s="47">
        <f t="shared" si="13"/>
        <v>48.166666666666664</v>
      </c>
      <c r="U7" s="47">
        <f t="shared" si="14"/>
        <v>96.333333333333329</v>
      </c>
      <c r="V7" s="83">
        <v>58</v>
      </c>
      <c r="W7" s="83">
        <v>55</v>
      </c>
      <c r="X7" s="1">
        <v>7</v>
      </c>
      <c r="Y7" s="84">
        <v>58</v>
      </c>
      <c r="Z7" s="85">
        <v>50</v>
      </c>
      <c r="AA7" s="76">
        <v>52</v>
      </c>
      <c r="AB7" s="76">
        <v>53</v>
      </c>
      <c r="AC7" s="76">
        <v>65</v>
      </c>
      <c r="AD7" s="7">
        <v>7</v>
      </c>
      <c r="AE7">
        <f t="shared" si="18"/>
        <v>398</v>
      </c>
      <c r="AF7">
        <v>7</v>
      </c>
      <c r="AG7" s="47">
        <f t="shared" si="19"/>
        <v>56.857142857142854</v>
      </c>
      <c r="AH7" s="47">
        <f t="shared" si="20"/>
        <v>113.71428571428571</v>
      </c>
      <c r="AI7" s="76">
        <v>7</v>
      </c>
      <c r="AJ7" s="77">
        <f t="shared" si="15"/>
        <v>748</v>
      </c>
      <c r="AK7">
        <v>15</v>
      </c>
      <c r="AL7" s="12">
        <f t="shared" si="16"/>
        <v>49.866666666666667</v>
      </c>
      <c r="AM7" s="12">
        <f t="shared" si="17"/>
        <v>99.733333333333334</v>
      </c>
      <c r="AN7">
        <v>63</v>
      </c>
      <c r="AO7">
        <v>58</v>
      </c>
      <c r="AP7">
        <v>64</v>
      </c>
      <c r="AQ7">
        <v>68</v>
      </c>
      <c r="AR7">
        <v>62</v>
      </c>
      <c r="AS7">
        <v>66</v>
      </c>
      <c r="AT7" s="7">
        <v>7</v>
      </c>
      <c r="AU7">
        <f t="shared" si="0"/>
        <v>381</v>
      </c>
      <c r="AV7">
        <v>6</v>
      </c>
      <c r="AW7" s="47">
        <f t="shared" si="5"/>
        <v>63.5</v>
      </c>
      <c r="AX7" s="47">
        <f t="shared" si="6"/>
        <v>127</v>
      </c>
      <c r="AY7" s="139">
        <v>63</v>
      </c>
      <c r="AZ7" s="139">
        <v>65</v>
      </c>
      <c r="BA7">
        <v>64</v>
      </c>
      <c r="BB7" s="78">
        <v>67</v>
      </c>
      <c r="BC7">
        <v>71</v>
      </c>
      <c r="BD7">
        <v>67</v>
      </c>
      <c r="BE7">
        <v>7</v>
      </c>
      <c r="BF7" s="78">
        <f t="shared" si="1"/>
        <v>397</v>
      </c>
      <c r="BG7">
        <v>6</v>
      </c>
      <c r="BH7" s="79">
        <f t="shared" si="7"/>
        <v>66.166666666666671</v>
      </c>
      <c r="BI7" s="79">
        <f t="shared" si="8"/>
        <v>132.33333333333334</v>
      </c>
      <c r="BJ7" s="148" t="str">
        <f t="shared" si="2"/>
        <v>▲ 2.67</v>
      </c>
      <c r="BK7">
        <f t="shared" si="3"/>
        <v>63.25</v>
      </c>
      <c r="BL7" s="150" t="str">
        <f t="shared" si="4"/>
        <v>▲ 2.92</v>
      </c>
      <c r="BM7" s="139">
        <v>74</v>
      </c>
      <c r="BN7" s="139">
        <v>69</v>
      </c>
      <c r="BO7">
        <v>71</v>
      </c>
      <c r="BP7" s="78"/>
      <c r="BT7">
        <v>7</v>
      </c>
      <c r="BU7" s="78">
        <f t="shared" si="9"/>
        <v>214</v>
      </c>
      <c r="BV7">
        <v>3</v>
      </c>
      <c r="BW7" s="79">
        <f t="shared" si="10"/>
        <v>71.333333333333329</v>
      </c>
      <c r="BX7" s="79">
        <f t="shared" si="11"/>
        <v>142.66666666666666</v>
      </c>
    </row>
    <row r="8" spans="1:76" ht="14.5" hidden="1" x14ac:dyDescent="0.35">
      <c r="A8" s="71" t="s">
        <v>4</v>
      </c>
      <c r="B8" s="72" t="s">
        <v>8</v>
      </c>
      <c r="C8" s="57" t="s">
        <v>9</v>
      </c>
      <c r="D8" s="72" t="s">
        <v>18</v>
      </c>
      <c r="E8" s="72" t="s">
        <v>116</v>
      </c>
      <c r="F8" s="89">
        <v>17</v>
      </c>
      <c r="G8" s="89">
        <v>18</v>
      </c>
      <c r="H8" s="89">
        <v>15</v>
      </c>
      <c r="I8" s="89">
        <v>17</v>
      </c>
      <c r="J8" s="3">
        <v>2</v>
      </c>
      <c r="K8" s="90">
        <v>18</v>
      </c>
      <c r="L8" s="90">
        <v>18</v>
      </c>
      <c r="M8" s="88">
        <v>2</v>
      </c>
      <c r="N8" s="91">
        <v>17</v>
      </c>
      <c r="O8" s="91">
        <v>26</v>
      </c>
      <c r="P8" s="1">
        <v>2</v>
      </c>
      <c r="Q8" s="36">
        <v>2</v>
      </c>
      <c r="R8">
        <f t="shared" si="12"/>
        <v>115</v>
      </c>
      <c r="S8">
        <v>6</v>
      </c>
      <c r="T8" s="47">
        <f t="shared" si="13"/>
        <v>19.166666666666668</v>
      </c>
      <c r="U8" s="47">
        <f t="shared" si="14"/>
        <v>38.333333333333336</v>
      </c>
      <c r="V8" s="91">
        <v>18</v>
      </c>
      <c r="W8" s="91">
        <v>15</v>
      </c>
      <c r="X8" s="1">
        <v>2</v>
      </c>
      <c r="Y8" s="92">
        <v>10</v>
      </c>
      <c r="Z8" s="93">
        <v>7</v>
      </c>
      <c r="AA8" s="76">
        <v>13</v>
      </c>
      <c r="AB8" s="76">
        <v>8</v>
      </c>
      <c r="AC8" s="76">
        <v>12</v>
      </c>
      <c r="AD8" s="36">
        <v>2</v>
      </c>
      <c r="AE8">
        <f t="shared" si="18"/>
        <v>85</v>
      </c>
      <c r="AF8">
        <v>7</v>
      </c>
      <c r="AG8" s="47">
        <f t="shared" si="19"/>
        <v>12.142857142857142</v>
      </c>
      <c r="AH8" s="47">
        <f t="shared" si="20"/>
        <v>24.285714285714285</v>
      </c>
      <c r="AI8" s="76">
        <v>2</v>
      </c>
      <c r="AJ8" s="77">
        <f t="shared" si="15"/>
        <v>229</v>
      </c>
      <c r="AK8">
        <v>15</v>
      </c>
      <c r="AL8" s="12">
        <f t="shared" si="16"/>
        <v>15.266666666666667</v>
      </c>
      <c r="AM8" s="12">
        <f t="shared" si="17"/>
        <v>30.533333333333335</v>
      </c>
      <c r="AN8">
        <v>6</v>
      </c>
      <c r="AO8">
        <v>9</v>
      </c>
      <c r="AP8">
        <v>4</v>
      </c>
      <c r="AQ8">
        <v>4</v>
      </c>
      <c r="AR8">
        <v>22</v>
      </c>
      <c r="AS8">
        <v>20</v>
      </c>
      <c r="AT8" s="36">
        <v>2</v>
      </c>
      <c r="AU8">
        <f t="shared" si="0"/>
        <v>65</v>
      </c>
      <c r="AV8">
        <v>6</v>
      </c>
      <c r="AW8" s="47">
        <f t="shared" si="5"/>
        <v>10.833333333333334</v>
      </c>
      <c r="AX8" s="47">
        <f t="shared" si="6"/>
        <v>21.666666666666668</v>
      </c>
      <c r="AY8" s="139">
        <v>23</v>
      </c>
      <c r="AZ8" s="139">
        <v>25</v>
      </c>
      <c r="BA8">
        <v>11</v>
      </c>
      <c r="BB8">
        <v>21</v>
      </c>
      <c r="BC8">
        <v>19</v>
      </c>
      <c r="BD8">
        <v>21</v>
      </c>
      <c r="BE8">
        <v>2</v>
      </c>
      <c r="BF8" s="78">
        <f t="shared" si="1"/>
        <v>120</v>
      </c>
      <c r="BG8">
        <v>6</v>
      </c>
      <c r="BH8" s="79">
        <f t="shared" si="7"/>
        <v>20</v>
      </c>
      <c r="BI8" s="79">
        <f t="shared" si="8"/>
        <v>40</v>
      </c>
      <c r="BJ8" s="148" t="str">
        <f t="shared" si="2"/>
        <v>▲ 9.17</v>
      </c>
      <c r="BK8">
        <f t="shared" si="3"/>
        <v>5.75</v>
      </c>
      <c r="BL8" s="150" t="str">
        <f t="shared" si="4"/>
        <v>▲ 14.25</v>
      </c>
      <c r="BM8" s="139">
        <v>22</v>
      </c>
      <c r="BN8" s="139">
        <v>18</v>
      </c>
      <c r="BO8">
        <v>20</v>
      </c>
      <c r="BT8">
        <v>2</v>
      </c>
      <c r="BU8" s="78">
        <f t="shared" si="9"/>
        <v>60</v>
      </c>
      <c r="BV8">
        <v>3</v>
      </c>
      <c r="BW8" s="79">
        <f t="shared" si="10"/>
        <v>20</v>
      </c>
      <c r="BX8" s="79">
        <f t="shared" si="11"/>
        <v>40</v>
      </c>
    </row>
    <row r="9" spans="1:76" ht="14.5" hidden="1" x14ac:dyDescent="0.35">
      <c r="A9" s="71" t="s">
        <v>4</v>
      </c>
      <c r="B9" s="72" t="s">
        <v>8</v>
      </c>
      <c r="C9" s="57" t="s">
        <v>7</v>
      </c>
      <c r="D9" s="94" t="s">
        <v>19</v>
      </c>
      <c r="E9" s="72" t="s">
        <v>116</v>
      </c>
      <c r="F9" s="3">
        <v>27</v>
      </c>
      <c r="G9" s="3">
        <v>30</v>
      </c>
      <c r="H9" s="3">
        <v>21</v>
      </c>
      <c r="I9" s="3">
        <v>63</v>
      </c>
      <c r="J9" s="3">
        <v>7</v>
      </c>
      <c r="K9" s="95">
        <v>24</v>
      </c>
      <c r="L9" s="95">
        <v>55</v>
      </c>
      <c r="M9" s="88">
        <v>7</v>
      </c>
      <c r="N9" s="96">
        <v>35</v>
      </c>
      <c r="O9" s="96">
        <v>57</v>
      </c>
      <c r="P9" s="1">
        <v>7</v>
      </c>
      <c r="Q9" s="7">
        <v>8</v>
      </c>
      <c r="R9">
        <f t="shared" si="12"/>
        <v>269</v>
      </c>
      <c r="S9">
        <v>6</v>
      </c>
      <c r="T9" s="47">
        <f t="shared" si="13"/>
        <v>44.833333333333336</v>
      </c>
      <c r="U9" s="47">
        <f t="shared" si="14"/>
        <v>89.666666666666671</v>
      </c>
      <c r="V9" s="96">
        <v>67</v>
      </c>
      <c r="W9" s="96">
        <v>66</v>
      </c>
      <c r="X9" s="1">
        <v>8</v>
      </c>
      <c r="Y9" s="97">
        <v>63</v>
      </c>
      <c r="Z9" s="98">
        <v>78</v>
      </c>
      <c r="AA9" s="76">
        <v>60</v>
      </c>
      <c r="AB9" s="76">
        <v>39</v>
      </c>
      <c r="AC9" s="76">
        <v>41</v>
      </c>
      <c r="AD9" s="7">
        <v>8</v>
      </c>
      <c r="AE9">
        <f t="shared" si="18"/>
        <v>422</v>
      </c>
      <c r="AF9">
        <v>7</v>
      </c>
      <c r="AG9" s="47">
        <f t="shared" si="19"/>
        <v>60.285714285714285</v>
      </c>
      <c r="AH9" s="47">
        <f t="shared" si="20"/>
        <v>120.57142857142857</v>
      </c>
      <c r="AI9" s="76">
        <v>8</v>
      </c>
      <c r="AJ9" s="77">
        <f t="shared" si="15"/>
        <v>726</v>
      </c>
      <c r="AK9">
        <v>15</v>
      </c>
      <c r="AL9" s="12">
        <f t="shared" si="16"/>
        <v>48.4</v>
      </c>
      <c r="AM9" s="12">
        <f t="shared" si="17"/>
        <v>96.8</v>
      </c>
      <c r="AN9">
        <v>30</v>
      </c>
      <c r="AO9">
        <v>58</v>
      </c>
      <c r="AP9">
        <v>68</v>
      </c>
      <c r="AQ9">
        <v>81</v>
      </c>
      <c r="AR9">
        <v>59</v>
      </c>
      <c r="AS9">
        <v>61</v>
      </c>
      <c r="AT9" s="7">
        <v>8</v>
      </c>
      <c r="AU9">
        <f t="shared" si="0"/>
        <v>357</v>
      </c>
      <c r="AV9">
        <v>6</v>
      </c>
      <c r="AW9" s="47">
        <f t="shared" si="5"/>
        <v>59.5</v>
      </c>
      <c r="AX9" s="47">
        <f t="shared" si="6"/>
        <v>119</v>
      </c>
      <c r="AY9">
        <v>58</v>
      </c>
      <c r="AZ9">
        <v>41</v>
      </c>
      <c r="BA9">
        <v>51</v>
      </c>
      <c r="BB9">
        <v>41</v>
      </c>
      <c r="BC9">
        <v>39</v>
      </c>
      <c r="BD9">
        <v>49</v>
      </c>
      <c r="BE9">
        <v>8</v>
      </c>
      <c r="BF9" s="78">
        <f t="shared" si="1"/>
        <v>279</v>
      </c>
      <c r="BG9">
        <v>6</v>
      </c>
      <c r="BH9" s="78">
        <f t="shared" si="7"/>
        <v>46.5</v>
      </c>
      <c r="BI9" s="79">
        <f t="shared" si="8"/>
        <v>93</v>
      </c>
      <c r="BJ9" s="148" t="str">
        <f t="shared" si="2"/>
        <v>▼ 13.00</v>
      </c>
      <c r="BK9">
        <f t="shared" si="3"/>
        <v>59.25</v>
      </c>
      <c r="BL9" s="150" t="str">
        <f t="shared" si="4"/>
        <v>▼ 12.75</v>
      </c>
      <c r="BM9">
        <v>41</v>
      </c>
      <c r="BN9">
        <v>47</v>
      </c>
      <c r="BO9">
        <v>39</v>
      </c>
      <c r="BT9">
        <v>8</v>
      </c>
      <c r="BU9" s="78">
        <f t="shared" si="9"/>
        <v>127</v>
      </c>
      <c r="BV9">
        <v>3</v>
      </c>
      <c r="BW9" s="79">
        <f t="shared" si="10"/>
        <v>42.333333333333336</v>
      </c>
      <c r="BX9" s="79">
        <f t="shared" si="11"/>
        <v>84.666666666666671</v>
      </c>
    </row>
    <row r="10" spans="1:76" ht="14.5" hidden="1" x14ac:dyDescent="0.35">
      <c r="A10" s="71" t="s">
        <v>4</v>
      </c>
      <c r="B10" s="72" t="s">
        <v>8</v>
      </c>
      <c r="C10" s="57" t="s">
        <v>7</v>
      </c>
      <c r="D10" s="94" t="s">
        <v>63</v>
      </c>
      <c r="E10" s="72" t="s">
        <v>43</v>
      </c>
      <c r="F10" s="3">
        <v>55</v>
      </c>
      <c r="G10" s="3">
        <v>50</v>
      </c>
      <c r="H10" s="3">
        <v>51</v>
      </c>
      <c r="I10" s="3">
        <v>43</v>
      </c>
      <c r="J10" s="3">
        <v>8</v>
      </c>
      <c r="K10" s="95">
        <v>45</v>
      </c>
      <c r="L10" s="95">
        <v>44</v>
      </c>
      <c r="M10" s="88">
        <v>8</v>
      </c>
      <c r="N10" s="96">
        <v>28</v>
      </c>
      <c r="O10" s="96">
        <v>38</v>
      </c>
      <c r="P10" s="1">
        <v>6.5</v>
      </c>
      <c r="Q10" s="7">
        <v>6.5</v>
      </c>
      <c r="R10">
        <f t="shared" si="12"/>
        <v>265</v>
      </c>
      <c r="S10">
        <v>6</v>
      </c>
      <c r="T10" s="47">
        <f t="shared" si="13"/>
        <v>44.166666666666664</v>
      </c>
      <c r="U10" s="47">
        <f t="shared" si="14"/>
        <v>88.333333333333329</v>
      </c>
      <c r="V10" s="96">
        <v>45</v>
      </c>
      <c r="W10" s="96">
        <v>52</v>
      </c>
      <c r="X10" s="1">
        <v>6.5</v>
      </c>
      <c r="Y10" s="97">
        <v>59</v>
      </c>
      <c r="Z10" s="98">
        <v>55</v>
      </c>
      <c r="AA10" s="76">
        <v>51</v>
      </c>
      <c r="AB10" s="76">
        <v>50</v>
      </c>
      <c r="AC10" s="76">
        <v>45</v>
      </c>
      <c r="AD10" s="7">
        <v>6.5</v>
      </c>
      <c r="AE10">
        <f t="shared" si="18"/>
        <v>363.5</v>
      </c>
      <c r="AF10">
        <v>7</v>
      </c>
      <c r="AG10" s="47">
        <f t="shared" si="19"/>
        <v>51.928571428571431</v>
      </c>
      <c r="AH10" s="47">
        <f t="shared" si="20"/>
        <v>103.85714285714286</v>
      </c>
      <c r="AI10" s="99">
        <v>6.5</v>
      </c>
      <c r="AJ10" s="77">
        <f t="shared" si="15"/>
        <v>711</v>
      </c>
      <c r="AK10">
        <v>15</v>
      </c>
      <c r="AL10" s="12">
        <f t="shared" si="16"/>
        <v>47.4</v>
      </c>
      <c r="AM10" s="12">
        <f t="shared" si="17"/>
        <v>94.8</v>
      </c>
      <c r="AN10">
        <v>0</v>
      </c>
      <c r="AO10">
        <v>0</v>
      </c>
      <c r="AP10">
        <v>0</v>
      </c>
      <c r="AQ10">
        <v>0</v>
      </c>
      <c r="AR10">
        <v>0</v>
      </c>
      <c r="AS10">
        <v>0</v>
      </c>
      <c r="AT10" s="7">
        <v>0</v>
      </c>
      <c r="AU10">
        <f t="shared" ref="AU10" si="21">SUM(AN10:AS10)</f>
        <v>0</v>
      </c>
      <c r="AV10">
        <v>6</v>
      </c>
      <c r="AW10" s="47">
        <f t="shared" ref="AW10" si="22">AU10/AV10</f>
        <v>0</v>
      </c>
      <c r="AX10" s="47">
        <f t="shared" si="6"/>
        <v>0</v>
      </c>
      <c r="AY10" s="171"/>
      <c r="AZ10" s="171"/>
      <c r="BA10" s="171"/>
      <c r="BB10" s="171"/>
      <c r="BC10" s="171"/>
      <c r="BD10" s="171"/>
      <c r="BE10" s="171"/>
      <c r="BF10" s="172"/>
      <c r="BG10" s="171"/>
      <c r="BH10" s="173"/>
      <c r="BI10" s="173"/>
      <c r="BJ10" s="174" t="str">
        <f t="shared" si="2"/>
        <v/>
      </c>
      <c r="BK10" s="171">
        <f t="shared" si="3"/>
        <v>0</v>
      </c>
      <c r="BL10" s="175" t="str">
        <f t="shared" si="4"/>
        <v/>
      </c>
      <c r="BM10" s="171"/>
      <c r="BN10" s="171"/>
      <c r="BO10" s="171"/>
      <c r="BP10" s="171"/>
      <c r="BQ10" s="171"/>
      <c r="BR10" s="171"/>
      <c r="BS10" s="171"/>
      <c r="BT10" s="171"/>
      <c r="BU10" s="172"/>
      <c r="BV10" s="171"/>
      <c r="BW10" s="173"/>
      <c r="BX10" s="173"/>
    </row>
    <row r="11" spans="1:76" ht="14.5" hidden="1" x14ac:dyDescent="0.35">
      <c r="A11" s="71" t="s">
        <v>4</v>
      </c>
      <c r="B11" s="72" t="s">
        <v>8</v>
      </c>
      <c r="C11" s="57" t="s">
        <v>7</v>
      </c>
      <c r="D11" s="94" t="s">
        <v>20</v>
      </c>
      <c r="E11" s="72" t="s">
        <v>116</v>
      </c>
      <c r="F11" s="3">
        <v>27</v>
      </c>
      <c r="G11" s="3">
        <v>39</v>
      </c>
      <c r="H11" s="3">
        <v>58</v>
      </c>
      <c r="I11" s="3">
        <v>43</v>
      </c>
      <c r="J11" s="3">
        <v>7.5</v>
      </c>
      <c r="K11" s="95">
        <v>45</v>
      </c>
      <c r="L11" s="95">
        <v>47</v>
      </c>
      <c r="M11" s="88">
        <v>7.5</v>
      </c>
      <c r="N11" s="96">
        <v>28</v>
      </c>
      <c r="O11" s="96">
        <v>22</v>
      </c>
      <c r="P11" s="1">
        <v>4.5</v>
      </c>
      <c r="Q11" s="7">
        <v>4.5</v>
      </c>
      <c r="R11">
        <f t="shared" si="12"/>
        <v>258</v>
      </c>
      <c r="S11">
        <v>6</v>
      </c>
      <c r="T11" s="47">
        <f t="shared" si="13"/>
        <v>43</v>
      </c>
      <c r="U11" s="47">
        <f t="shared" si="14"/>
        <v>86</v>
      </c>
      <c r="V11" s="96">
        <v>28</v>
      </c>
      <c r="W11" s="96">
        <v>32</v>
      </c>
      <c r="X11" s="1">
        <v>4.5</v>
      </c>
      <c r="Y11" s="97">
        <v>39</v>
      </c>
      <c r="Z11" s="98">
        <v>47</v>
      </c>
      <c r="AA11" s="76">
        <v>33</v>
      </c>
      <c r="AB11" s="76">
        <v>27</v>
      </c>
      <c r="AC11" s="76">
        <v>29</v>
      </c>
      <c r="AD11" s="7">
        <v>4.5</v>
      </c>
      <c r="AE11">
        <f t="shared" si="18"/>
        <v>239.5</v>
      </c>
      <c r="AF11">
        <v>7</v>
      </c>
      <c r="AG11" s="47">
        <f t="shared" si="19"/>
        <v>34.214285714285715</v>
      </c>
      <c r="AH11" s="47">
        <f t="shared" si="20"/>
        <v>68.428571428571431</v>
      </c>
      <c r="AI11" s="99">
        <v>4.5</v>
      </c>
      <c r="AJ11" s="77">
        <f t="shared" si="15"/>
        <v>544</v>
      </c>
      <c r="AK11">
        <v>15</v>
      </c>
      <c r="AL11" s="12">
        <f t="shared" si="16"/>
        <v>36.266666666666666</v>
      </c>
      <c r="AM11" s="12">
        <f t="shared" si="17"/>
        <v>72.533333333333331</v>
      </c>
      <c r="AN11">
        <v>27</v>
      </c>
      <c r="AO11">
        <v>62</v>
      </c>
      <c r="AP11">
        <v>66</v>
      </c>
      <c r="AQ11">
        <v>57</v>
      </c>
      <c r="AR11">
        <v>79</v>
      </c>
      <c r="AS11">
        <v>75</v>
      </c>
      <c r="AT11" s="7">
        <v>8</v>
      </c>
      <c r="AU11">
        <f t="shared" ref="AU11:AU31" si="23">SUM(AN11:AS11)</f>
        <v>366</v>
      </c>
      <c r="AV11">
        <v>6</v>
      </c>
      <c r="AW11" s="47">
        <f t="shared" ref="AW11:AW31" si="24">AU11/AV11</f>
        <v>61</v>
      </c>
      <c r="AX11" s="47">
        <f t="shared" si="6"/>
        <v>122</v>
      </c>
      <c r="AY11">
        <v>59</v>
      </c>
      <c r="AZ11">
        <v>66</v>
      </c>
      <c r="BA11">
        <v>70</v>
      </c>
      <c r="BB11">
        <v>75</v>
      </c>
      <c r="BC11">
        <v>51</v>
      </c>
      <c r="BD11">
        <v>38</v>
      </c>
      <c r="BE11">
        <v>8</v>
      </c>
      <c r="BF11" s="78">
        <f t="shared" ref="BF11:BF21" si="25">SUM(AY11:BD11)</f>
        <v>359</v>
      </c>
      <c r="BG11">
        <v>6</v>
      </c>
      <c r="BH11" s="78">
        <f t="shared" si="7"/>
        <v>59.833333333333336</v>
      </c>
      <c r="BI11" s="79">
        <f t="shared" si="8"/>
        <v>119.66666666666667</v>
      </c>
      <c r="BJ11" s="148" t="str">
        <f t="shared" si="2"/>
        <v>▼ 1.17</v>
      </c>
      <c r="BK11">
        <f t="shared" si="3"/>
        <v>53</v>
      </c>
      <c r="BL11" s="150" t="str">
        <f t="shared" si="4"/>
        <v>▲ 6.83</v>
      </c>
      <c r="BM11">
        <v>42</v>
      </c>
      <c r="BN11">
        <v>43</v>
      </c>
      <c r="BO11">
        <v>44</v>
      </c>
      <c r="BT11">
        <v>8</v>
      </c>
      <c r="BU11" s="78">
        <f t="shared" si="9"/>
        <v>129</v>
      </c>
      <c r="BV11">
        <v>3</v>
      </c>
      <c r="BW11" s="79">
        <f t="shared" si="10"/>
        <v>43</v>
      </c>
      <c r="BX11" s="79">
        <f t="shared" si="11"/>
        <v>86</v>
      </c>
    </row>
    <row r="12" spans="1:76" ht="14.5" hidden="1" x14ac:dyDescent="0.35">
      <c r="A12" s="71" t="s">
        <v>4</v>
      </c>
      <c r="B12" s="72" t="s">
        <v>8</v>
      </c>
      <c r="C12" s="57" t="s">
        <v>7</v>
      </c>
      <c r="D12" s="94" t="s">
        <v>21</v>
      </c>
      <c r="E12" s="72" t="s">
        <v>116</v>
      </c>
      <c r="F12" s="3">
        <v>11</v>
      </c>
      <c r="G12" s="3">
        <v>41</v>
      </c>
      <c r="H12" s="3">
        <v>20</v>
      </c>
      <c r="I12" s="3">
        <v>16</v>
      </c>
      <c r="J12" s="3">
        <v>6.5</v>
      </c>
      <c r="K12" s="95">
        <v>42</v>
      </c>
      <c r="L12" s="95">
        <v>22</v>
      </c>
      <c r="M12" s="88">
        <v>6.5</v>
      </c>
      <c r="N12" s="96">
        <v>29</v>
      </c>
      <c r="O12" s="96">
        <v>36</v>
      </c>
      <c r="P12" s="1">
        <v>6.5</v>
      </c>
      <c r="Q12" s="7">
        <v>6.5</v>
      </c>
      <c r="R12">
        <f t="shared" si="12"/>
        <v>178</v>
      </c>
      <c r="S12">
        <v>6</v>
      </c>
      <c r="T12" s="47">
        <f t="shared" si="13"/>
        <v>29.666666666666668</v>
      </c>
      <c r="U12" s="47">
        <f t="shared" si="14"/>
        <v>59.333333333333336</v>
      </c>
      <c r="V12" s="96">
        <v>46</v>
      </c>
      <c r="W12" s="96">
        <v>41</v>
      </c>
      <c r="X12" s="1">
        <v>6.5</v>
      </c>
      <c r="Y12" s="97">
        <v>20</v>
      </c>
      <c r="Z12" s="98">
        <v>46</v>
      </c>
      <c r="AA12" s="98">
        <v>37</v>
      </c>
      <c r="AB12" s="98">
        <v>42</v>
      </c>
      <c r="AC12" s="98">
        <v>26</v>
      </c>
      <c r="AD12" s="7">
        <v>6.5</v>
      </c>
      <c r="AE12">
        <f t="shared" si="18"/>
        <v>264.5</v>
      </c>
      <c r="AF12">
        <v>7</v>
      </c>
      <c r="AG12" s="47">
        <f t="shared" si="19"/>
        <v>37.785714285714285</v>
      </c>
      <c r="AH12" s="47">
        <f t="shared" si="20"/>
        <v>75.571428571428569</v>
      </c>
      <c r="AI12" s="99">
        <v>6.5</v>
      </c>
      <c r="AJ12" s="77">
        <f t="shared" si="15"/>
        <v>475</v>
      </c>
      <c r="AK12">
        <v>15</v>
      </c>
      <c r="AL12" s="12">
        <f t="shared" si="16"/>
        <v>31.666666666666668</v>
      </c>
      <c r="AM12" s="12">
        <f t="shared" si="17"/>
        <v>63.333333333333336</v>
      </c>
      <c r="AN12" s="134">
        <v>45</v>
      </c>
      <c r="AO12" s="134">
        <v>49</v>
      </c>
      <c r="AP12" s="134">
        <v>44</v>
      </c>
      <c r="AQ12" s="134">
        <v>55</v>
      </c>
      <c r="AR12" s="134">
        <v>41</v>
      </c>
      <c r="AS12" s="134">
        <v>47</v>
      </c>
      <c r="AT12" s="7">
        <v>6.5</v>
      </c>
      <c r="AU12">
        <f t="shared" si="23"/>
        <v>281</v>
      </c>
      <c r="AV12">
        <v>6</v>
      </c>
      <c r="AW12" s="47">
        <f t="shared" si="24"/>
        <v>46.833333333333336</v>
      </c>
      <c r="AX12" s="47">
        <f t="shared" si="6"/>
        <v>93.666666666666671</v>
      </c>
      <c r="AY12">
        <v>38</v>
      </c>
      <c r="AZ12">
        <v>38</v>
      </c>
      <c r="BA12">
        <v>37</v>
      </c>
      <c r="BB12">
        <v>59</v>
      </c>
      <c r="BC12">
        <v>49</v>
      </c>
      <c r="BD12">
        <v>54</v>
      </c>
      <c r="BE12">
        <v>6.5</v>
      </c>
      <c r="BF12" s="78">
        <f t="shared" si="25"/>
        <v>275</v>
      </c>
      <c r="BG12">
        <v>6</v>
      </c>
      <c r="BH12" s="79">
        <f t="shared" si="7"/>
        <v>45.833333333333336</v>
      </c>
      <c r="BI12" s="79">
        <f t="shared" si="8"/>
        <v>91.666666666666671</v>
      </c>
      <c r="BJ12" s="148" t="str">
        <f t="shared" si="2"/>
        <v>▼ 1.00</v>
      </c>
      <c r="BK12">
        <f t="shared" si="3"/>
        <v>48.25</v>
      </c>
      <c r="BL12" s="150" t="str">
        <f t="shared" si="4"/>
        <v>▼ 2.42</v>
      </c>
      <c r="BM12">
        <v>64</v>
      </c>
      <c r="BN12">
        <v>99</v>
      </c>
      <c r="BO12">
        <v>96</v>
      </c>
      <c r="BT12">
        <v>11</v>
      </c>
      <c r="BU12" s="78">
        <f t="shared" si="9"/>
        <v>259</v>
      </c>
      <c r="BV12">
        <v>3</v>
      </c>
      <c r="BW12" s="79">
        <f t="shared" si="10"/>
        <v>86.333333333333329</v>
      </c>
      <c r="BX12" s="79">
        <f t="shared" si="11"/>
        <v>172.66666666666666</v>
      </c>
    </row>
    <row r="13" spans="1:76" ht="14.5" hidden="1" x14ac:dyDescent="0.35">
      <c r="A13" s="71" t="s">
        <v>4</v>
      </c>
      <c r="B13" s="72" t="s">
        <v>8</v>
      </c>
      <c r="C13" s="57" t="s">
        <v>7</v>
      </c>
      <c r="D13" s="94" t="s">
        <v>22</v>
      </c>
      <c r="E13" s="72" t="s">
        <v>116</v>
      </c>
      <c r="F13" s="3">
        <v>24</v>
      </c>
      <c r="G13" s="3">
        <v>67</v>
      </c>
      <c r="H13" s="3">
        <v>40</v>
      </c>
      <c r="I13" s="3">
        <v>14</v>
      </c>
      <c r="J13" s="3">
        <v>7.5</v>
      </c>
      <c r="K13" s="95">
        <v>25</v>
      </c>
      <c r="L13" s="95">
        <v>25</v>
      </c>
      <c r="M13" s="88">
        <v>7.5</v>
      </c>
      <c r="N13" s="96">
        <v>32</v>
      </c>
      <c r="O13" s="96">
        <v>35</v>
      </c>
      <c r="P13" s="1">
        <v>7.5</v>
      </c>
      <c r="Q13" s="7">
        <v>7.5</v>
      </c>
      <c r="R13">
        <f t="shared" si="12"/>
        <v>186</v>
      </c>
      <c r="S13">
        <v>6</v>
      </c>
      <c r="T13" s="47">
        <f t="shared" si="13"/>
        <v>31</v>
      </c>
      <c r="U13" s="47">
        <f t="shared" si="14"/>
        <v>62</v>
      </c>
      <c r="V13" s="96">
        <v>39</v>
      </c>
      <c r="W13" s="96">
        <v>21</v>
      </c>
      <c r="X13" s="1">
        <v>7.5</v>
      </c>
      <c r="Y13" s="97">
        <v>29</v>
      </c>
      <c r="Z13" s="98">
        <v>38</v>
      </c>
      <c r="AA13" s="98">
        <v>32</v>
      </c>
      <c r="AB13" s="98">
        <v>34</v>
      </c>
      <c r="AC13" s="98">
        <v>29</v>
      </c>
      <c r="AD13" s="7">
        <v>7.5</v>
      </c>
      <c r="AE13">
        <f t="shared" si="18"/>
        <v>229.5</v>
      </c>
      <c r="AF13">
        <v>7</v>
      </c>
      <c r="AG13" s="47">
        <f t="shared" si="19"/>
        <v>32.785714285714285</v>
      </c>
      <c r="AH13" s="47">
        <f t="shared" si="20"/>
        <v>65.571428571428569</v>
      </c>
      <c r="AI13" s="99">
        <v>7.5</v>
      </c>
      <c r="AJ13" s="77">
        <f t="shared" si="15"/>
        <v>484</v>
      </c>
      <c r="AK13">
        <v>15</v>
      </c>
      <c r="AL13" s="12">
        <f t="shared" si="16"/>
        <v>32.266666666666666</v>
      </c>
      <c r="AM13" s="12">
        <f t="shared" si="17"/>
        <v>64.533333333333331</v>
      </c>
      <c r="AN13" s="134">
        <v>46</v>
      </c>
      <c r="AO13" s="134">
        <v>37</v>
      </c>
      <c r="AP13" s="134">
        <v>36</v>
      </c>
      <c r="AQ13" s="134">
        <v>47</v>
      </c>
      <c r="AR13" s="134">
        <v>26</v>
      </c>
      <c r="AS13" s="134">
        <v>47</v>
      </c>
      <c r="AT13" s="7">
        <v>7.5</v>
      </c>
      <c r="AU13">
        <f t="shared" si="23"/>
        <v>239</v>
      </c>
      <c r="AV13">
        <v>6</v>
      </c>
      <c r="AW13" s="47">
        <f t="shared" si="24"/>
        <v>39.833333333333336</v>
      </c>
      <c r="AX13" s="47">
        <f t="shared" si="6"/>
        <v>79.666666666666671</v>
      </c>
      <c r="AY13">
        <v>41</v>
      </c>
      <c r="AZ13">
        <v>36.5</v>
      </c>
      <c r="BA13">
        <v>29</v>
      </c>
      <c r="BB13">
        <v>51</v>
      </c>
      <c r="BC13">
        <v>55</v>
      </c>
      <c r="BD13">
        <v>46</v>
      </c>
      <c r="BE13">
        <v>6</v>
      </c>
      <c r="BF13" s="78">
        <f t="shared" si="25"/>
        <v>258.5</v>
      </c>
      <c r="BG13">
        <v>6</v>
      </c>
      <c r="BH13" s="79">
        <f t="shared" si="7"/>
        <v>43.083333333333336</v>
      </c>
      <c r="BI13" s="79">
        <f t="shared" si="8"/>
        <v>86.166666666666671</v>
      </c>
      <c r="BJ13" s="148" t="str">
        <f t="shared" si="2"/>
        <v>▲ 3.25</v>
      </c>
      <c r="BK13">
        <f t="shared" si="3"/>
        <v>41.5</v>
      </c>
      <c r="BL13" s="150" t="str">
        <f t="shared" si="4"/>
        <v>▲ 1.58</v>
      </c>
      <c r="BT13">
        <v>6</v>
      </c>
      <c r="BU13" s="78">
        <f t="shared" si="9"/>
        <v>0</v>
      </c>
      <c r="BV13">
        <v>3</v>
      </c>
      <c r="BW13" s="79">
        <f t="shared" si="10"/>
        <v>0</v>
      </c>
      <c r="BX13" s="79">
        <f t="shared" si="11"/>
        <v>0</v>
      </c>
    </row>
    <row r="14" spans="1:76" ht="14.5" hidden="1" x14ac:dyDescent="0.35">
      <c r="A14" s="71" t="s">
        <v>4</v>
      </c>
      <c r="B14" s="72" t="s">
        <v>23</v>
      </c>
      <c r="C14" s="58" t="s">
        <v>11</v>
      </c>
      <c r="D14" s="100" t="s">
        <v>24</v>
      </c>
      <c r="E14" s="72" t="s">
        <v>116</v>
      </c>
      <c r="F14" s="3">
        <v>82</v>
      </c>
      <c r="G14" s="3">
        <v>58</v>
      </c>
      <c r="H14" s="3">
        <v>69</v>
      </c>
      <c r="I14" s="3">
        <v>66</v>
      </c>
      <c r="J14" s="101">
        <v>8.5</v>
      </c>
      <c r="K14" s="88">
        <v>76</v>
      </c>
      <c r="L14" s="88">
        <v>70</v>
      </c>
      <c r="M14" s="102">
        <v>8.5</v>
      </c>
      <c r="N14" s="1">
        <v>70</v>
      </c>
      <c r="O14" s="1">
        <v>92</v>
      </c>
      <c r="P14" s="2">
        <v>8.5</v>
      </c>
      <c r="Q14" s="2">
        <v>8.5</v>
      </c>
      <c r="R14">
        <f t="shared" si="12"/>
        <v>460</v>
      </c>
      <c r="S14">
        <v>6</v>
      </c>
      <c r="T14" s="47">
        <f t="shared" si="13"/>
        <v>76.666666666666671</v>
      </c>
      <c r="U14" s="47">
        <f t="shared" si="14"/>
        <v>153.33333333333334</v>
      </c>
      <c r="V14" s="1">
        <v>50</v>
      </c>
      <c r="W14" s="1">
        <v>78</v>
      </c>
      <c r="X14" s="2">
        <v>8.5</v>
      </c>
      <c r="Y14" s="7">
        <v>56</v>
      </c>
      <c r="Z14" s="99">
        <v>63</v>
      </c>
      <c r="AA14" s="99">
        <v>68</v>
      </c>
      <c r="AB14" s="99">
        <v>59</v>
      </c>
      <c r="AC14" s="99">
        <v>54</v>
      </c>
      <c r="AD14" s="2">
        <v>8.5</v>
      </c>
      <c r="AE14">
        <f t="shared" si="18"/>
        <v>436.5</v>
      </c>
      <c r="AF14">
        <v>7</v>
      </c>
      <c r="AG14" s="47">
        <f t="shared" si="19"/>
        <v>62.357142857142854</v>
      </c>
      <c r="AH14" s="47">
        <f t="shared" si="20"/>
        <v>124.71428571428571</v>
      </c>
      <c r="AI14" s="103">
        <v>8.5</v>
      </c>
      <c r="AJ14" s="77">
        <f t="shared" si="15"/>
        <v>1011</v>
      </c>
      <c r="AK14">
        <v>15</v>
      </c>
      <c r="AL14" s="12">
        <f t="shared" si="16"/>
        <v>67.400000000000006</v>
      </c>
      <c r="AM14" s="12">
        <f t="shared" si="17"/>
        <v>134.80000000000001</v>
      </c>
      <c r="AN14">
        <v>63</v>
      </c>
      <c r="AO14">
        <v>43</v>
      </c>
      <c r="AP14">
        <v>72</v>
      </c>
      <c r="AQ14">
        <v>63</v>
      </c>
      <c r="AR14">
        <v>51</v>
      </c>
      <c r="AS14">
        <v>42</v>
      </c>
      <c r="AT14" s="2">
        <v>8.5</v>
      </c>
      <c r="AU14">
        <f t="shared" si="23"/>
        <v>334</v>
      </c>
      <c r="AV14">
        <v>6</v>
      </c>
      <c r="AW14" s="47">
        <f t="shared" si="24"/>
        <v>55.666666666666664</v>
      </c>
      <c r="AX14" s="47">
        <f t="shared" si="6"/>
        <v>111.33333333333333</v>
      </c>
      <c r="AY14">
        <v>39</v>
      </c>
      <c r="AZ14">
        <v>48</v>
      </c>
      <c r="BA14">
        <v>37</v>
      </c>
      <c r="BB14">
        <v>67</v>
      </c>
      <c r="BC14">
        <v>30</v>
      </c>
      <c r="BD14">
        <v>44</v>
      </c>
      <c r="BE14">
        <v>5</v>
      </c>
      <c r="BF14" s="78">
        <f t="shared" si="25"/>
        <v>265</v>
      </c>
      <c r="BG14">
        <v>6</v>
      </c>
      <c r="BH14" s="79">
        <f t="shared" si="7"/>
        <v>44.166666666666664</v>
      </c>
      <c r="BI14" s="79">
        <f t="shared" si="8"/>
        <v>88.333333333333329</v>
      </c>
      <c r="BJ14" s="148" t="str">
        <f t="shared" si="2"/>
        <v>▼ 11.50</v>
      </c>
      <c r="BK14">
        <f t="shared" si="3"/>
        <v>60.25</v>
      </c>
      <c r="BL14" s="150" t="str">
        <f t="shared" si="4"/>
        <v>▼ 16.08</v>
      </c>
      <c r="BM14">
        <v>35</v>
      </c>
      <c r="BN14">
        <v>55</v>
      </c>
      <c r="BO14">
        <v>65</v>
      </c>
      <c r="BT14">
        <v>6.5</v>
      </c>
      <c r="BU14" s="78">
        <f t="shared" si="9"/>
        <v>155</v>
      </c>
      <c r="BV14">
        <v>3</v>
      </c>
      <c r="BW14" s="79">
        <f t="shared" si="10"/>
        <v>51.666666666666664</v>
      </c>
      <c r="BX14" s="79">
        <f t="shared" si="11"/>
        <v>103.33333333333333</v>
      </c>
    </row>
    <row r="15" spans="1:76" ht="14.5" hidden="1" x14ac:dyDescent="0.35">
      <c r="A15" s="71" t="s">
        <v>4</v>
      </c>
      <c r="B15" s="72" t="s">
        <v>23</v>
      </c>
      <c r="C15" s="58" t="s">
        <v>11</v>
      </c>
      <c r="D15" s="100" t="s">
        <v>25</v>
      </c>
      <c r="E15" s="72" t="s">
        <v>116</v>
      </c>
      <c r="F15" s="3"/>
      <c r="G15" s="3"/>
      <c r="H15" s="3"/>
      <c r="I15" s="3">
        <v>23</v>
      </c>
      <c r="J15" s="101">
        <v>3.5</v>
      </c>
      <c r="K15" s="88">
        <v>17</v>
      </c>
      <c r="L15" s="88">
        <v>20</v>
      </c>
      <c r="M15" s="102">
        <v>3.5</v>
      </c>
      <c r="N15" s="1">
        <v>14</v>
      </c>
      <c r="O15" s="1">
        <v>20</v>
      </c>
      <c r="P15" s="2">
        <v>3.5</v>
      </c>
      <c r="Q15" s="2">
        <v>3.5</v>
      </c>
      <c r="R15">
        <f t="shared" si="12"/>
        <v>101</v>
      </c>
      <c r="S15">
        <v>5</v>
      </c>
      <c r="T15" s="47">
        <f t="shared" si="13"/>
        <v>20.2</v>
      </c>
      <c r="U15" s="47">
        <f t="shared" si="14"/>
        <v>40.4</v>
      </c>
      <c r="V15" s="1">
        <v>27</v>
      </c>
      <c r="W15" s="1">
        <v>20</v>
      </c>
      <c r="X15" s="2">
        <v>3.5</v>
      </c>
      <c r="Y15" s="7">
        <v>10</v>
      </c>
      <c r="Z15" s="99">
        <v>16</v>
      </c>
      <c r="AA15" s="99">
        <v>18</v>
      </c>
      <c r="AB15" s="99">
        <v>10</v>
      </c>
      <c r="AC15" s="99">
        <v>24</v>
      </c>
      <c r="AD15" s="2">
        <v>3.5</v>
      </c>
      <c r="AE15">
        <f t="shared" si="18"/>
        <v>128.5</v>
      </c>
      <c r="AF15">
        <v>7</v>
      </c>
      <c r="AG15" s="47">
        <f t="shared" si="19"/>
        <v>18.357142857142858</v>
      </c>
      <c r="AH15" s="47">
        <f t="shared" si="20"/>
        <v>36.714285714285715</v>
      </c>
      <c r="AI15" s="103">
        <v>3.5</v>
      </c>
      <c r="AJ15" s="77">
        <f t="shared" si="15"/>
        <v>219</v>
      </c>
      <c r="AK15">
        <v>12</v>
      </c>
      <c r="AL15" s="12">
        <f t="shared" si="16"/>
        <v>18.25</v>
      </c>
      <c r="AM15" s="12">
        <f t="shared" si="17"/>
        <v>36.5</v>
      </c>
      <c r="AN15">
        <v>6</v>
      </c>
      <c r="AO15">
        <v>16</v>
      </c>
      <c r="AP15">
        <v>16</v>
      </c>
      <c r="AQ15">
        <v>21</v>
      </c>
      <c r="AR15">
        <v>22</v>
      </c>
      <c r="AS15">
        <v>17</v>
      </c>
      <c r="AT15" s="2">
        <v>3.5</v>
      </c>
      <c r="AU15">
        <f t="shared" si="23"/>
        <v>98</v>
      </c>
      <c r="AV15">
        <v>6</v>
      </c>
      <c r="AW15" s="47">
        <f>AU15/AV15</f>
        <v>16.333333333333332</v>
      </c>
      <c r="AX15" s="47">
        <f t="shared" si="6"/>
        <v>32.666666666666664</v>
      </c>
      <c r="AY15">
        <v>23</v>
      </c>
      <c r="AZ15">
        <v>21</v>
      </c>
      <c r="BA15">
        <v>16</v>
      </c>
      <c r="BB15">
        <v>24</v>
      </c>
      <c r="BC15">
        <v>17</v>
      </c>
      <c r="BD15">
        <v>27</v>
      </c>
      <c r="BE15">
        <v>2.5</v>
      </c>
      <c r="BF15" s="78">
        <f t="shared" si="25"/>
        <v>128</v>
      </c>
      <c r="BG15">
        <v>6</v>
      </c>
      <c r="BH15" s="79">
        <f t="shared" si="7"/>
        <v>21.333333333333332</v>
      </c>
      <c r="BI15" s="79">
        <f t="shared" si="8"/>
        <v>42.666666666666664</v>
      </c>
      <c r="BJ15" s="148" t="str">
        <f t="shared" si="2"/>
        <v>▲ 5.00</v>
      </c>
      <c r="BK15">
        <f t="shared" si="3"/>
        <v>14.75</v>
      </c>
      <c r="BL15" s="150" t="str">
        <f t="shared" si="4"/>
        <v>▲ 6.58</v>
      </c>
      <c r="BM15">
        <v>25</v>
      </c>
      <c r="BN15">
        <v>39</v>
      </c>
      <c r="BO15">
        <v>38</v>
      </c>
      <c r="BT15">
        <v>4.5</v>
      </c>
      <c r="BU15" s="78">
        <f t="shared" si="9"/>
        <v>102</v>
      </c>
      <c r="BV15">
        <v>3</v>
      </c>
      <c r="BW15" s="79">
        <f t="shared" si="10"/>
        <v>34</v>
      </c>
      <c r="BX15" s="79">
        <f t="shared" si="11"/>
        <v>68</v>
      </c>
    </row>
    <row r="16" spans="1:76" ht="14.5" hidden="1" x14ac:dyDescent="0.35">
      <c r="A16" s="71" t="s">
        <v>4</v>
      </c>
      <c r="B16" s="72" t="s">
        <v>23</v>
      </c>
      <c r="C16" s="58" t="s">
        <v>11</v>
      </c>
      <c r="D16" s="100" t="s">
        <v>26</v>
      </c>
      <c r="E16" s="72" t="s">
        <v>116</v>
      </c>
      <c r="F16" s="3">
        <v>17</v>
      </c>
      <c r="G16" s="3">
        <v>21.5</v>
      </c>
      <c r="H16" s="3">
        <v>15.5</v>
      </c>
      <c r="I16" s="3">
        <v>19</v>
      </c>
      <c r="J16" s="101">
        <v>2</v>
      </c>
      <c r="K16" s="88">
        <v>17</v>
      </c>
      <c r="L16" s="88">
        <v>16.5</v>
      </c>
      <c r="M16" s="102">
        <v>2</v>
      </c>
      <c r="N16" s="1">
        <v>14</v>
      </c>
      <c r="O16" s="1">
        <v>19</v>
      </c>
      <c r="P16" s="2">
        <v>2</v>
      </c>
      <c r="Q16" s="2">
        <v>2</v>
      </c>
      <c r="R16">
        <f t="shared" si="12"/>
        <v>105</v>
      </c>
      <c r="S16">
        <v>6</v>
      </c>
      <c r="T16" s="47">
        <f t="shared" si="13"/>
        <v>17.5</v>
      </c>
      <c r="U16" s="47">
        <f t="shared" si="14"/>
        <v>35</v>
      </c>
      <c r="V16" s="1">
        <v>14</v>
      </c>
      <c r="W16" s="1">
        <v>21.5</v>
      </c>
      <c r="X16" s="2">
        <v>2</v>
      </c>
      <c r="Y16" s="7">
        <v>15.5</v>
      </c>
      <c r="Z16" s="99">
        <v>18</v>
      </c>
      <c r="AA16" s="99">
        <v>27.3</v>
      </c>
      <c r="AB16" s="99">
        <v>18</v>
      </c>
      <c r="AC16" s="99">
        <v>7.5</v>
      </c>
      <c r="AD16" s="2">
        <v>2</v>
      </c>
      <c r="AE16">
        <f t="shared" si="18"/>
        <v>123.8</v>
      </c>
      <c r="AF16">
        <v>7</v>
      </c>
      <c r="AG16" s="47">
        <f t="shared" si="19"/>
        <v>17.685714285714287</v>
      </c>
      <c r="AH16" s="47">
        <f t="shared" si="20"/>
        <v>35.371428571428574</v>
      </c>
      <c r="AI16" s="103">
        <v>2</v>
      </c>
      <c r="AJ16" s="77">
        <f t="shared" si="15"/>
        <v>261.3</v>
      </c>
      <c r="AK16">
        <v>15</v>
      </c>
      <c r="AL16" s="12">
        <f t="shared" si="16"/>
        <v>17.420000000000002</v>
      </c>
      <c r="AM16" s="12">
        <f t="shared" si="17"/>
        <v>34.840000000000003</v>
      </c>
      <c r="AN16">
        <v>20</v>
      </c>
      <c r="AO16">
        <v>14</v>
      </c>
      <c r="AP16">
        <v>17.5</v>
      </c>
      <c r="AQ16">
        <v>11.5</v>
      </c>
      <c r="AR16">
        <v>16.5</v>
      </c>
      <c r="AS16">
        <v>9</v>
      </c>
      <c r="AT16" s="2">
        <v>2</v>
      </c>
      <c r="AU16">
        <f t="shared" si="23"/>
        <v>88.5</v>
      </c>
      <c r="AV16">
        <v>6</v>
      </c>
      <c r="AW16" s="47">
        <f>AU16/AV16</f>
        <v>14.75</v>
      </c>
      <c r="AX16" s="47">
        <f t="shared" si="6"/>
        <v>29.5</v>
      </c>
      <c r="AY16">
        <v>17</v>
      </c>
      <c r="AZ16">
        <v>12</v>
      </c>
      <c r="BA16">
        <v>11</v>
      </c>
      <c r="BB16">
        <v>9</v>
      </c>
      <c r="BC16">
        <v>11</v>
      </c>
      <c r="BD16">
        <v>10.5</v>
      </c>
      <c r="BE16">
        <v>2</v>
      </c>
      <c r="BF16" s="78">
        <f t="shared" si="25"/>
        <v>70.5</v>
      </c>
      <c r="BG16">
        <v>6</v>
      </c>
      <c r="BH16" s="79">
        <f t="shared" si="7"/>
        <v>11.75</v>
      </c>
      <c r="BI16" s="79">
        <f t="shared" si="8"/>
        <v>23.5</v>
      </c>
      <c r="BJ16" s="148" t="str">
        <f t="shared" si="2"/>
        <v>▼ 3.00</v>
      </c>
      <c r="BK16">
        <f t="shared" si="3"/>
        <v>15.75</v>
      </c>
      <c r="BL16" s="150" t="str">
        <f t="shared" si="4"/>
        <v>▼ 4.00</v>
      </c>
      <c r="BM16">
        <v>11</v>
      </c>
      <c r="BT16">
        <v>2</v>
      </c>
      <c r="BU16" s="78">
        <f t="shared" si="9"/>
        <v>11</v>
      </c>
      <c r="BV16">
        <v>1</v>
      </c>
      <c r="BW16" s="79">
        <f t="shared" si="10"/>
        <v>11</v>
      </c>
      <c r="BX16" s="79">
        <f t="shared" si="11"/>
        <v>22</v>
      </c>
    </row>
    <row r="17" spans="1:76" ht="14.5" hidden="1" x14ac:dyDescent="0.35">
      <c r="A17" s="71" t="s">
        <v>4</v>
      </c>
      <c r="B17" s="72" t="s">
        <v>23</v>
      </c>
      <c r="C17" s="58" t="s">
        <v>11</v>
      </c>
      <c r="D17" s="100" t="s">
        <v>27</v>
      </c>
      <c r="E17" s="72" t="s">
        <v>116</v>
      </c>
      <c r="F17" s="3">
        <v>93</v>
      </c>
      <c r="G17" s="3">
        <v>88</v>
      </c>
      <c r="H17" s="3">
        <v>85</v>
      </c>
      <c r="I17" s="3">
        <v>91</v>
      </c>
      <c r="J17" s="3">
        <v>10</v>
      </c>
      <c r="K17" s="88">
        <v>92</v>
      </c>
      <c r="L17" s="88">
        <v>79</v>
      </c>
      <c r="M17" s="88">
        <v>10</v>
      </c>
      <c r="N17" s="1">
        <v>78</v>
      </c>
      <c r="O17" s="1">
        <v>88</v>
      </c>
      <c r="P17" s="1">
        <v>10</v>
      </c>
      <c r="Q17" s="1">
        <v>10</v>
      </c>
      <c r="R17">
        <f t="shared" si="12"/>
        <v>533</v>
      </c>
      <c r="S17">
        <v>6</v>
      </c>
      <c r="T17" s="47">
        <f t="shared" si="13"/>
        <v>88.833333333333329</v>
      </c>
      <c r="U17" s="47">
        <f t="shared" si="14"/>
        <v>177.66666666666666</v>
      </c>
      <c r="V17" s="1">
        <v>62</v>
      </c>
      <c r="W17" s="1">
        <v>72</v>
      </c>
      <c r="X17" s="1">
        <v>10</v>
      </c>
      <c r="Y17" s="7">
        <v>91</v>
      </c>
      <c r="Z17" s="99">
        <v>88</v>
      </c>
      <c r="AA17" s="99">
        <v>90</v>
      </c>
      <c r="AB17" s="99">
        <v>89</v>
      </c>
      <c r="AC17" s="99">
        <v>76</v>
      </c>
      <c r="AD17" s="1">
        <v>10</v>
      </c>
      <c r="AE17">
        <f t="shared" si="18"/>
        <v>578</v>
      </c>
      <c r="AF17">
        <v>7</v>
      </c>
      <c r="AG17" s="47">
        <f t="shared" si="19"/>
        <v>82.571428571428569</v>
      </c>
      <c r="AH17" s="47">
        <f t="shared" si="20"/>
        <v>165.14285714285714</v>
      </c>
      <c r="AI17" s="104">
        <v>10</v>
      </c>
      <c r="AJ17" s="77">
        <f t="shared" si="15"/>
        <v>1262</v>
      </c>
      <c r="AK17">
        <v>15</v>
      </c>
      <c r="AL17" s="12">
        <f t="shared" si="16"/>
        <v>84.13333333333334</v>
      </c>
      <c r="AM17" s="12">
        <f t="shared" si="17"/>
        <v>168.26666666666668</v>
      </c>
      <c r="AN17">
        <v>66</v>
      </c>
      <c r="AO17">
        <v>79</v>
      </c>
      <c r="AP17">
        <v>44</v>
      </c>
      <c r="AQ17">
        <v>44</v>
      </c>
      <c r="AR17">
        <v>41</v>
      </c>
      <c r="AT17" s="1">
        <v>10</v>
      </c>
      <c r="AU17">
        <f t="shared" si="23"/>
        <v>274</v>
      </c>
      <c r="AV17">
        <v>6</v>
      </c>
      <c r="AW17" s="47">
        <f>AU17/AV17</f>
        <v>45.666666666666664</v>
      </c>
      <c r="AX17" s="47">
        <f t="shared" si="6"/>
        <v>91.333333333333329</v>
      </c>
      <c r="AY17">
        <v>4</v>
      </c>
      <c r="AZ17">
        <v>28</v>
      </c>
      <c r="BA17">
        <v>29</v>
      </c>
      <c r="BE17">
        <v>4.5</v>
      </c>
      <c r="BF17" s="78">
        <f t="shared" si="25"/>
        <v>61</v>
      </c>
      <c r="BG17">
        <v>3</v>
      </c>
      <c r="BH17" s="79">
        <f t="shared" si="7"/>
        <v>20.333333333333332</v>
      </c>
      <c r="BI17" s="79">
        <f t="shared" si="8"/>
        <v>40.666666666666664</v>
      </c>
      <c r="BJ17" s="148" t="str">
        <f t="shared" si="2"/>
        <v>▼ 25.33</v>
      </c>
      <c r="BK17">
        <f t="shared" si="3"/>
        <v>58.25</v>
      </c>
      <c r="BL17" s="150" t="str">
        <f t="shared" si="4"/>
        <v>▼ 37.92</v>
      </c>
      <c r="BT17">
        <v>4.5</v>
      </c>
      <c r="BU17" s="78">
        <f t="shared" si="9"/>
        <v>0</v>
      </c>
      <c r="BV17">
        <v>3</v>
      </c>
      <c r="BW17" s="79">
        <f t="shared" si="10"/>
        <v>0</v>
      </c>
      <c r="BX17" s="79">
        <f t="shared" si="11"/>
        <v>0</v>
      </c>
    </row>
    <row r="18" spans="1:76" ht="14.5" hidden="1" x14ac:dyDescent="0.35">
      <c r="A18" s="71" t="s">
        <v>4</v>
      </c>
      <c r="B18" s="72" t="s">
        <v>29</v>
      </c>
      <c r="C18" s="59" t="s">
        <v>13</v>
      </c>
      <c r="D18" s="105" t="s">
        <v>30</v>
      </c>
      <c r="E18" s="72" t="s">
        <v>116</v>
      </c>
      <c r="F18" s="106">
        <v>48</v>
      </c>
      <c r="G18" s="106">
        <v>36</v>
      </c>
      <c r="H18" s="106">
        <v>28</v>
      </c>
      <c r="I18" s="106">
        <v>40</v>
      </c>
      <c r="J18" s="106">
        <v>11</v>
      </c>
      <c r="K18" s="107">
        <v>52</v>
      </c>
      <c r="L18" s="107">
        <v>57</v>
      </c>
      <c r="M18" s="107">
        <v>11</v>
      </c>
      <c r="N18" s="108">
        <v>43</v>
      </c>
      <c r="O18" s="108">
        <v>56</v>
      </c>
      <c r="P18" s="108">
        <v>11</v>
      </c>
      <c r="Q18" s="6">
        <v>10</v>
      </c>
      <c r="R18">
        <f t="shared" si="12"/>
        <v>298</v>
      </c>
      <c r="S18">
        <v>6</v>
      </c>
      <c r="T18" s="47">
        <f t="shared" si="13"/>
        <v>49.666666666666664</v>
      </c>
      <c r="U18" s="47">
        <f t="shared" si="14"/>
        <v>99.333333333333329</v>
      </c>
      <c r="V18" s="108">
        <v>52</v>
      </c>
      <c r="W18" s="108">
        <v>55</v>
      </c>
      <c r="X18" s="108">
        <v>10</v>
      </c>
      <c r="Y18" s="109">
        <v>54</v>
      </c>
      <c r="Z18" s="110">
        <v>52</v>
      </c>
      <c r="AA18" s="111">
        <v>59</v>
      </c>
      <c r="AB18" s="111">
        <v>59</v>
      </c>
      <c r="AC18" s="111">
        <v>54</v>
      </c>
      <c r="AD18" s="6">
        <v>10</v>
      </c>
      <c r="AE18">
        <f t="shared" si="18"/>
        <v>395</v>
      </c>
      <c r="AF18">
        <v>7</v>
      </c>
      <c r="AG18" s="47">
        <f t="shared" si="19"/>
        <v>56.428571428571431</v>
      </c>
      <c r="AH18" s="47">
        <f t="shared" si="20"/>
        <v>112.85714285714286</v>
      </c>
      <c r="AI18" s="110">
        <v>10</v>
      </c>
      <c r="AJ18" s="77">
        <f t="shared" si="15"/>
        <v>745</v>
      </c>
      <c r="AK18">
        <v>15</v>
      </c>
      <c r="AL18" s="12">
        <f t="shared" si="16"/>
        <v>49.666666666666664</v>
      </c>
      <c r="AM18" s="12">
        <f t="shared" si="17"/>
        <v>99.333333333333329</v>
      </c>
      <c r="AN18">
        <v>49</v>
      </c>
      <c r="AO18">
        <v>56</v>
      </c>
      <c r="AP18">
        <v>59</v>
      </c>
      <c r="AQ18">
        <v>75</v>
      </c>
      <c r="AR18">
        <v>66</v>
      </c>
      <c r="AS18">
        <v>72</v>
      </c>
      <c r="AT18" s="6">
        <v>10</v>
      </c>
      <c r="AU18">
        <f t="shared" si="23"/>
        <v>377</v>
      </c>
      <c r="AV18">
        <v>6</v>
      </c>
      <c r="AW18" s="47">
        <f t="shared" si="24"/>
        <v>62.833333333333336</v>
      </c>
      <c r="AX18" s="47">
        <f t="shared" si="6"/>
        <v>125.66666666666667</v>
      </c>
      <c r="AY18">
        <v>64</v>
      </c>
      <c r="AZ18">
        <v>67</v>
      </c>
      <c r="BA18">
        <v>58</v>
      </c>
      <c r="BB18">
        <v>59</v>
      </c>
      <c r="BC18">
        <v>52</v>
      </c>
      <c r="BD18">
        <v>52</v>
      </c>
      <c r="BE18">
        <v>10</v>
      </c>
      <c r="BF18" s="78">
        <f t="shared" si="25"/>
        <v>352</v>
      </c>
      <c r="BG18">
        <v>6</v>
      </c>
      <c r="BH18" s="79">
        <f t="shared" si="7"/>
        <v>58.666666666666664</v>
      </c>
      <c r="BI18" s="79">
        <f t="shared" si="8"/>
        <v>117.33333333333333</v>
      </c>
      <c r="BJ18" s="148" t="str">
        <f t="shared" si="2"/>
        <v>▼ 4.17</v>
      </c>
      <c r="BK18">
        <f t="shared" si="3"/>
        <v>59.75</v>
      </c>
      <c r="BL18" s="150" t="str">
        <f t="shared" si="4"/>
        <v>▼ 1.08</v>
      </c>
      <c r="BM18">
        <v>53</v>
      </c>
      <c r="BN18">
        <v>60</v>
      </c>
      <c r="BO18">
        <v>54</v>
      </c>
      <c r="BT18">
        <v>10</v>
      </c>
      <c r="BU18" s="78">
        <f t="shared" si="9"/>
        <v>167</v>
      </c>
      <c r="BV18">
        <v>3</v>
      </c>
      <c r="BW18" s="79">
        <f t="shared" si="10"/>
        <v>55.666666666666664</v>
      </c>
      <c r="BX18" s="79">
        <f t="shared" si="11"/>
        <v>111.33333333333333</v>
      </c>
    </row>
    <row r="19" spans="1:76" ht="14.5" hidden="1" x14ac:dyDescent="0.35">
      <c r="A19" s="71" t="s">
        <v>4</v>
      </c>
      <c r="B19" s="72" t="s">
        <v>29</v>
      </c>
      <c r="C19" s="59" t="s">
        <v>13</v>
      </c>
      <c r="D19" s="105" t="s">
        <v>31</v>
      </c>
      <c r="E19" s="72" t="s">
        <v>116</v>
      </c>
      <c r="F19" s="106">
        <v>49</v>
      </c>
      <c r="G19" s="106">
        <v>73</v>
      </c>
      <c r="H19" s="106">
        <v>69</v>
      </c>
      <c r="I19" s="106">
        <v>76</v>
      </c>
      <c r="J19" s="106">
        <v>11</v>
      </c>
      <c r="K19" s="107">
        <v>83</v>
      </c>
      <c r="L19" s="107">
        <v>70</v>
      </c>
      <c r="M19" s="107">
        <v>11</v>
      </c>
      <c r="N19" s="108">
        <v>63</v>
      </c>
      <c r="O19" s="108">
        <v>74</v>
      </c>
      <c r="P19" s="108">
        <v>11</v>
      </c>
      <c r="Q19" s="6">
        <v>11</v>
      </c>
      <c r="R19">
        <f t="shared" si="12"/>
        <v>457</v>
      </c>
      <c r="S19">
        <v>6</v>
      </c>
      <c r="T19" s="47">
        <f t="shared" si="13"/>
        <v>76.166666666666671</v>
      </c>
      <c r="U19" s="47">
        <f t="shared" si="14"/>
        <v>152.33333333333334</v>
      </c>
      <c r="V19" s="108">
        <v>66</v>
      </c>
      <c r="W19" s="108">
        <v>76</v>
      </c>
      <c r="X19" s="108">
        <v>11</v>
      </c>
      <c r="Y19" s="109">
        <v>72</v>
      </c>
      <c r="Z19" s="110">
        <v>70</v>
      </c>
      <c r="AA19" s="6">
        <v>67</v>
      </c>
      <c r="AB19" s="6">
        <v>67</v>
      </c>
      <c r="AC19" s="6">
        <v>52</v>
      </c>
      <c r="AD19" s="6">
        <v>11</v>
      </c>
      <c r="AE19">
        <f t="shared" si="18"/>
        <v>481</v>
      </c>
      <c r="AF19">
        <v>7</v>
      </c>
      <c r="AG19" s="47">
        <f t="shared" si="19"/>
        <v>68.714285714285708</v>
      </c>
      <c r="AH19" s="47">
        <f t="shared" si="20"/>
        <v>137.42857142857142</v>
      </c>
      <c r="AI19" s="112">
        <v>11</v>
      </c>
      <c r="AJ19" s="77">
        <f t="shared" si="15"/>
        <v>1027</v>
      </c>
      <c r="AK19">
        <v>15</v>
      </c>
      <c r="AL19" s="12">
        <f t="shared" si="16"/>
        <v>68.466666666666669</v>
      </c>
      <c r="AM19" s="12">
        <f t="shared" si="17"/>
        <v>136.93333333333334</v>
      </c>
      <c r="AN19">
        <v>65</v>
      </c>
      <c r="AO19">
        <v>62</v>
      </c>
      <c r="AP19">
        <v>82</v>
      </c>
      <c r="AQ19">
        <v>79</v>
      </c>
      <c r="AR19">
        <v>71</v>
      </c>
      <c r="AS19">
        <v>65</v>
      </c>
      <c r="AT19" s="6">
        <v>11</v>
      </c>
      <c r="AU19">
        <f t="shared" si="23"/>
        <v>424</v>
      </c>
      <c r="AV19">
        <v>6</v>
      </c>
      <c r="AW19" s="47">
        <f t="shared" si="24"/>
        <v>70.666666666666671</v>
      </c>
      <c r="AX19" s="47">
        <f t="shared" si="6"/>
        <v>141.33333333333334</v>
      </c>
      <c r="AY19">
        <v>68</v>
      </c>
      <c r="AZ19">
        <v>61</v>
      </c>
      <c r="BA19">
        <v>58</v>
      </c>
      <c r="BB19">
        <v>69</v>
      </c>
      <c r="BC19">
        <v>78</v>
      </c>
      <c r="BD19">
        <v>75</v>
      </c>
      <c r="BE19">
        <v>10</v>
      </c>
      <c r="BF19" s="78">
        <f t="shared" si="25"/>
        <v>409</v>
      </c>
      <c r="BG19">
        <v>6</v>
      </c>
      <c r="BH19" s="79">
        <f t="shared" si="7"/>
        <v>68.166666666666671</v>
      </c>
      <c r="BI19" s="79">
        <f t="shared" si="8"/>
        <v>136.33333333333334</v>
      </c>
      <c r="BJ19" s="148" t="str">
        <f t="shared" si="2"/>
        <v>▼ 2.50</v>
      </c>
      <c r="BK19">
        <f t="shared" si="3"/>
        <v>72</v>
      </c>
      <c r="BL19" s="150" t="str">
        <f t="shared" si="4"/>
        <v>▼ 3.83</v>
      </c>
      <c r="BM19">
        <v>78</v>
      </c>
      <c r="BN19">
        <v>77</v>
      </c>
      <c r="BO19">
        <v>78</v>
      </c>
      <c r="BT19">
        <v>11</v>
      </c>
      <c r="BU19" s="78">
        <f t="shared" si="9"/>
        <v>233</v>
      </c>
      <c r="BV19">
        <v>3</v>
      </c>
      <c r="BW19" s="79">
        <f t="shared" si="10"/>
        <v>77.666666666666671</v>
      </c>
      <c r="BX19" s="79">
        <f t="shared" si="11"/>
        <v>155.33333333333334</v>
      </c>
    </row>
    <row r="20" spans="1:76" ht="14.5" hidden="1" x14ac:dyDescent="0.35">
      <c r="A20" s="71" t="s">
        <v>4</v>
      </c>
      <c r="B20" s="72" t="s">
        <v>29</v>
      </c>
      <c r="C20" s="59" t="s">
        <v>13</v>
      </c>
      <c r="D20" s="113" t="s">
        <v>32</v>
      </c>
      <c r="E20" s="72" t="s">
        <v>116</v>
      </c>
      <c r="F20" s="86">
        <v>40</v>
      </c>
      <c r="G20" s="86">
        <v>49</v>
      </c>
      <c r="H20" s="86">
        <v>50</v>
      </c>
      <c r="I20" s="86">
        <v>49</v>
      </c>
      <c r="J20" s="106">
        <v>10</v>
      </c>
      <c r="K20" s="87">
        <v>47</v>
      </c>
      <c r="L20" s="87">
        <v>53</v>
      </c>
      <c r="M20" s="107">
        <v>10</v>
      </c>
      <c r="N20" s="114">
        <v>55</v>
      </c>
      <c r="O20" s="114">
        <v>54</v>
      </c>
      <c r="P20" s="108">
        <v>10</v>
      </c>
      <c r="Q20" s="6">
        <v>10</v>
      </c>
      <c r="R20">
        <f t="shared" si="12"/>
        <v>328</v>
      </c>
      <c r="S20">
        <v>6</v>
      </c>
      <c r="T20" s="47">
        <f t="shared" si="13"/>
        <v>54.666666666666664</v>
      </c>
      <c r="U20" s="47">
        <f t="shared" si="14"/>
        <v>109.33333333333333</v>
      </c>
      <c r="V20" s="114">
        <v>43</v>
      </c>
      <c r="W20" s="114">
        <v>63</v>
      </c>
      <c r="X20" s="108">
        <v>10</v>
      </c>
      <c r="Y20" s="115">
        <v>59</v>
      </c>
      <c r="Z20" s="116">
        <v>45</v>
      </c>
      <c r="AA20" s="6">
        <v>50</v>
      </c>
      <c r="AB20" s="6">
        <v>49</v>
      </c>
      <c r="AC20" s="6">
        <v>34</v>
      </c>
      <c r="AD20" s="6">
        <v>10</v>
      </c>
      <c r="AE20">
        <f t="shared" si="18"/>
        <v>353</v>
      </c>
      <c r="AF20">
        <v>7</v>
      </c>
      <c r="AG20" s="47">
        <f t="shared" si="19"/>
        <v>50.428571428571431</v>
      </c>
      <c r="AH20" s="47">
        <f t="shared" si="20"/>
        <v>100.85714285714286</v>
      </c>
      <c r="AI20" s="112">
        <v>10</v>
      </c>
      <c r="AJ20" s="77">
        <f t="shared" si="15"/>
        <v>740</v>
      </c>
      <c r="AK20">
        <v>15</v>
      </c>
      <c r="AL20" s="12">
        <f t="shared" si="16"/>
        <v>49.333333333333336</v>
      </c>
      <c r="AM20" s="12">
        <f t="shared" si="17"/>
        <v>98.666666666666671</v>
      </c>
      <c r="AN20">
        <v>30</v>
      </c>
      <c r="AO20">
        <v>45</v>
      </c>
      <c r="AP20">
        <v>53</v>
      </c>
      <c r="AQ20">
        <v>59</v>
      </c>
      <c r="AR20">
        <v>79</v>
      </c>
      <c r="AS20">
        <v>61</v>
      </c>
      <c r="AT20" s="6">
        <v>10</v>
      </c>
      <c r="AU20">
        <f t="shared" si="23"/>
        <v>327</v>
      </c>
      <c r="AV20">
        <v>6</v>
      </c>
      <c r="AW20" s="47">
        <f t="shared" si="24"/>
        <v>54.5</v>
      </c>
      <c r="AX20" s="47">
        <f t="shared" si="6"/>
        <v>109</v>
      </c>
      <c r="AY20">
        <v>59</v>
      </c>
      <c r="AZ20">
        <v>58.1</v>
      </c>
      <c r="BA20">
        <v>57</v>
      </c>
      <c r="BB20">
        <v>52</v>
      </c>
      <c r="BC20">
        <v>45</v>
      </c>
      <c r="BD20">
        <v>48</v>
      </c>
      <c r="BE20">
        <v>11</v>
      </c>
      <c r="BF20" s="78">
        <f t="shared" si="25"/>
        <v>319.10000000000002</v>
      </c>
      <c r="BG20">
        <v>6</v>
      </c>
      <c r="BH20" s="79">
        <f t="shared" si="7"/>
        <v>53.183333333333337</v>
      </c>
      <c r="BI20" s="79">
        <f t="shared" si="8"/>
        <v>106.36666666666667</v>
      </c>
      <c r="BJ20" s="148" t="str">
        <f t="shared" si="2"/>
        <v>▼ 1.32</v>
      </c>
      <c r="BK20">
        <f t="shared" si="3"/>
        <v>46.75</v>
      </c>
      <c r="BL20" s="150" t="str">
        <f t="shared" si="4"/>
        <v>▲ 6.43</v>
      </c>
      <c r="BM20">
        <v>36</v>
      </c>
      <c r="BN20">
        <v>48</v>
      </c>
      <c r="BO20">
        <v>55</v>
      </c>
      <c r="BT20">
        <v>10</v>
      </c>
      <c r="BU20" s="78">
        <f t="shared" si="9"/>
        <v>139</v>
      </c>
      <c r="BV20">
        <v>3</v>
      </c>
      <c r="BW20" s="79">
        <f t="shared" si="10"/>
        <v>46.333333333333336</v>
      </c>
      <c r="BX20" s="79">
        <f t="shared" si="11"/>
        <v>92.666666666666671</v>
      </c>
    </row>
    <row r="21" spans="1:76" ht="14.5" hidden="1" x14ac:dyDescent="0.35">
      <c r="A21" s="71" t="s">
        <v>4</v>
      </c>
      <c r="B21" s="72" t="s">
        <v>29</v>
      </c>
      <c r="C21" s="57" t="s">
        <v>15</v>
      </c>
      <c r="D21" s="100" t="s">
        <v>33</v>
      </c>
      <c r="E21" s="72" t="s">
        <v>116</v>
      </c>
      <c r="F21" s="3">
        <v>71</v>
      </c>
      <c r="G21" s="3">
        <v>54</v>
      </c>
      <c r="H21" s="3">
        <v>56</v>
      </c>
      <c r="I21" s="3">
        <v>57</v>
      </c>
      <c r="J21" s="3">
        <v>9</v>
      </c>
      <c r="K21" s="117">
        <v>49</v>
      </c>
      <c r="L21" s="117">
        <v>42</v>
      </c>
      <c r="M21" s="117">
        <v>9</v>
      </c>
      <c r="N21" s="117">
        <v>61</v>
      </c>
      <c r="O21" s="117">
        <v>55</v>
      </c>
      <c r="P21" s="117">
        <v>9</v>
      </c>
      <c r="Q21" s="8">
        <v>9</v>
      </c>
      <c r="R21">
        <f t="shared" si="12"/>
        <v>338</v>
      </c>
      <c r="S21">
        <v>6</v>
      </c>
      <c r="T21" s="47">
        <f t="shared" si="13"/>
        <v>56.333333333333336</v>
      </c>
      <c r="U21" s="47">
        <f t="shared" si="14"/>
        <v>112.66666666666667</v>
      </c>
      <c r="V21" s="117">
        <v>55</v>
      </c>
      <c r="W21" s="117">
        <v>32</v>
      </c>
      <c r="X21" s="117">
        <v>9</v>
      </c>
      <c r="Y21" s="8">
        <v>46</v>
      </c>
      <c r="Z21" s="118">
        <v>54</v>
      </c>
      <c r="AA21" s="8">
        <v>52</v>
      </c>
      <c r="AB21" s="8">
        <v>35</v>
      </c>
      <c r="AC21" s="8">
        <v>30</v>
      </c>
      <c r="AD21" s="8">
        <v>9</v>
      </c>
      <c r="AE21">
        <f t="shared" si="18"/>
        <v>313</v>
      </c>
      <c r="AF21">
        <v>7</v>
      </c>
      <c r="AG21" s="47">
        <f t="shared" si="19"/>
        <v>44.714285714285715</v>
      </c>
      <c r="AH21" s="47">
        <f t="shared" si="20"/>
        <v>89.428571428571431</v>
      </c>
      <c r="AI21" s="119">
        <v>9</v>
      </c>
      <c r="AJ21" s="77">
        <f t="shared" si="15"/>
        <v>749</v>
      </c>
      <c r="AK21">
        <v>15</v>
      </c>
      <c r="AL21" s="12">
        <f t="shared" si="16"/>
        <v>49.93333333333333</v>
      </c>
      <c r="AM21" s="12">
        <f t="shared" si="17"/>
        <v>99.86666666666666</v>
      </c>
      <c r="AN21">
        <v>56</v>
      </c>
      <c r="AO21">
        <v>55</v>
      </c>
      <c r="AP21">
        <v>55</v>
      </c>
      <c r="AQ21">
        <v>57</v>
      </c>
      <c r="AR21">
        <v>58</v>
      </c>
      <c r="AS21">
        <v>62</v>
      </c>
      <c r="AT21" s="8">
        <v>9</v>
      </c>
      <c r="AU21">
        <f t="shared" si="23"/>
        <v>343</v>
      </c>
      <c r="AV21">
        <v>6</v>
      </c>
      <c r="AW21" s="47">
        <f t="shared" si="24"/>
        <v>57.166666666666664</v>
      </c>
      <c r="AX21" s="47">
        <f t="shared" si="6"/>
        <v>114.33333333333333</v>
      </c>
      <c r="AY21">
        <v>49</v>
      </c>
      <c r="AZ21">
        <v>60</v>
      </c>
      <c r="BA21">
        <v>56</v>
      </c>
      <c r="BB21">
        <v>63</v>
      </c>
      <c r="BC21">
        <v>65</v>
      </c>
      <c r="BD21">
        <v>74</v>
      </c>
      <c r="BE21">
        <v>9</v>
      </c>
      <c r="BF21" s="78">
        <f t="shared" si="25"/>
        <v>367</v>
      </c>
      <c r="BG21">
        <v>6</v>
      </c>
      <c r="BH21" s="79">
        <f t="shared" si="7"/>
        <v>61.166666666666664</v>
      </c>
      <c r="BI21" s="79">
        <f t="shared" si="8"/>
        <v>122.33333333333333</v>
      </c>
      <c r="BJ21" s="148" t="str">
        <f t="shared" si="2"/>
        <v>▲ 4.00</v>
      </c>
      <c r="BK21">
        <f t="shared" si="3"/>
        <v>55.75</v>
      </c>
      <c r="BL21" s="150" t="str">
        <f t="shared" si="4"/>
        <v>▲ 5.42</v>
      </c>
      <c r="BM21">
        <v>86</v>
      </c>
      <c r="BN21">
        <v>79</v>
      </c>
      <c r="BT21">
        <v>9</v>
      </c>
      <c r="BU21" s="78">
        <f t="shared" si="9"/>
        <v>165</v>
      </c>
      <c r="BV21">
        <v>2</v>
      </c>
      <c r="BW21" s="79">
        <f t="shared" si="10"/>
        <v>82.5</v>
      </c>
      <c r="BX21" s="79">
        <f t="shared" si="11"/>
        <v>165</v>
      </c>
    </row>
    <row r="22" spans="1:76" ht="14.5" hidden="1" x14ac:dyDescent="0.35">
      <c r="A22" s="120" t="s">
        <v>4</v>
      </c>
      <c r="B22" s="72" t="s">
        <v>8</v>
      </c>
      <c r="C22" s="57" t="s">
        <v>7</v>
      </c>
      <c r="D22" s="121" t="s">
        <v>64</v>
      </c>
      <c r="E22" s="72" t="s">
        <v>43</v>
      </c>
      <c r="F22" s="106"/>
      <c r="G22" s="106"/>
      <c r="H22" s="106"/>
      <c r="I22" s="106"/>
      <c r="J22" s="106"/>
      <c r="K22" s="117">
        <v>5</v>
      </c>
      <c r="L22" s="117">
        <v>32</v>
      </c>
      <c r="M22" s="117">
        <v>4</v>
      </c>
      <c r="N22" s="117">
        <v>22</v>
      </c>
      <c r="O22" s="117">
        <v>22</v>
      </c>
      <c r="P22" s="117">
        <v>4</v>
      </c>
      <c r="Q22" s="8">
        <v>4</v>
      </c>
      <c r="R22">
        <f t="shared" si="12"/>
        <v>85</v>
      </c>
      <c r="S22">
        <v>6</v>
      </c>
      <c r="T22" s="47">
        <f t="shared" si="13"/>
        <v>14.166666666666666</v>
      </c>
      <c r="U22" s="47">
        <f t="shared" si="14"/>
        <v>28.333333333333332</v>
      </c>
      <c r="V22" s="122">
        <v>32</v>
      </c>
      <c r="W22" s="122">
        <v>22</v>
      </c>
      <c r="X22" s="122">
        <v>4</v>
      </c>
      <c r="Y22" s="8">
        <v>23</v>
      </c>
      <c r="Z22" s="118">
        <v>21</v>
      </c>
      <c r="AA22" s="118">
        <v>27</v>
      </c>
      <c r="AB22" s="118">
        <v>13</v>
      </c>
      <c r="AC22" s="118">
        <v>22</v>
      </c>
      <c r="AD22" s="8">
        <v>4</v>
      </c>
      <c r="AE22">
        <f t="shared" si="18"/>
        <v>164</v>
      </c>
      <c r="AF22">
        <v>7</v>
      </c>
      <c r="AG22" s="47">
        <f t="shared" si="19"/>
        <v>23.428571428571427</v>
      </c>
      <c r="AH22" s="47">
        <f t="shared" si="20"/>
        <v>46.857142857142854</v>
      </c>
      <c r="AI22" s="118">
        <v>4</v>
      </c>
      <c r="AJ22" s="77">
        <f t="shared" si="15"/>
        <v>241</v>
      </c>
      <c r="AK22">
        <v>11</v>
      </c>
      <c r="AL22" s="12">
        <f t="shared" si="16"/>
        <v>21.90909090909091</v>
      </c>
      <c r="AM22" s="12">
        <f t="shared" si="17"/>
        <v>43.81818181818182</v>
      </c>
      <c r="AN22">
        <v>0</v>
      </c>
      <c r="AO22">
        <v>0</v>
      </c>
      <c r="AP22">
        <v>0</v>
      </c>
      <c r="AQ22">
        <v>0</v>
      </c>
      <c r="AR22">
        <v>0</v>
      </c>
      <c r="AS22">
        <v>0</v>
      </c>
      <c r="AT22" s="8">
        <v>0</v>
      </c>
      <c r="AU22">
        <f t="shared" ref="AU22" si="26">SUM(AN22:AS22)</f>
        <v>0</v>
      </c>
      <c r="AV22">
        <v>6</v>
      </c>
      <c r="AW22" s="47">
        <f t="shared" ref="AW22" si="27">AU22/AV22</f>
        <v>0</v>
      </c>
      <c r="AX22" s="47">
        <f t="shared" si="6"/>
        <v>0</v>
      </c>
      <c r="AY22" s="171"/>
      <c r="AZ22" s="171"/>
      <c r="BA22" s="171"/>
      <c r="BB22" s="171"/>
      <c r="BC22" s="171"/>
      <c r="BD22" s="171"/>
      <c r="BE22" s="171"/>
      <c r="BF22" s="172"/>
      <c r="BG22" s="171"/>
      <c r="BH22" s="173"/>
      <c r="BI22" s="173"/>
      <c r="BJ22" s="174" t="str">
        <f t="shared" si="2"/>
        <v/>
      </c>
      <c r="BK22" s="171">
        <f t="shared" ref="BK22" si="28">SUM(AN22:AQ22)/4</f>
        <v>0</v>
      </c>
      <c r="BL22" s="175" t="str">
        <f t="shared" ref="BL22" si="29">IF(OR(BK22="",BH22="",NOT(ISNUMBER(BK22)),NOT(ISNUMBER(BH22))),"",IF(BH22&gt;BK22,"▲ "&amp;TEXT(ABS(BH22-BK22),"0.00"),IF(BH22&lt;BK22,"▼ "&amp;TEXT(ABS(BH22-BK22),"0.00"),"● 0.00")))</f>
        <v/>
      </c>
      <c r="BM22" s="171"/>
      <c r="BN22" s="171"/>
      <c r="BO22" s="171"/>
      <c r="BP22" s="171"/>
      <c r="BQ22" s="171"/>
      <c r="BR22" s="171"/>
      <c r="BS22" s="171"/>
      <c r="BT22" s="171"/>
      <c r="BU22" s="172"/>
      <c r="BV22" s="171"/>
      <c r="BW22" s="173"/>
      <c r="BX22" s="173"/>
    </row>
    <row r="23" spans="1:76" ht="14.5" hidden="1" x14ac:dyDescent="0.35">
      <c r="A23" s="5" t="s">
        <v>4</v>
      </c>
      <c r="B23" s="72" t="s">
        <v>29</v>
      </c>
      <c r="C23" s="60" t="s">
        <v>17</v>
      </c>
      <c r="D23" s="4" t="s">
        <v>34</v>
      </c>
      <c r="E23" s="72" t="s">
        <v>116</v>
      </c>
      <c r="F23" s="106"/>
      <c r="G23" s="106"/>
      <c r="H23" s="106"/>
      <c r="I23" s="106"/>
      <c r="J23" s="106"/>
      <c r="K23" s="106"/>
      <c r="L23" s="106"/>
      <c r="M23" s="106"/>
      <c r="N23" s="106"/>
      <c r="O23" s="106"/>
      <c r="P23" s="106"/>
      <c r="Q23" s="8">
        <v>2</v>
      </c>
      <c r="R23">
        <f t="shared" si="12"/>
        <v>0</v>
      </c>
      <c r="S23">
        <v>6</v>
      </c>
      <c r="T23" s="47">
        <f t="shared" si="13"/>
        <v>0</v>
      </c>
      <c r="U23" s="47">
        <f t="shared" si="14"/>
        <v>0</v>
      </c>
      <c r="V23" s="122">
        <v>32</v>
      </c>
      <c r="W23" s="122">
        <v>26</v>
      </c>
      <c r="X23" s="122">
        <v>2</v>
      </c>
      <c r="Y23" s="123">
        <v>26</v>
      </c>
      <c r="Z23" s="124">
        <v>29</v>
      </c>
      <c r="AA23" s="124">
        <v>18</v>
      </c>
      <c r="AB23" s="124">
        <v>15</v>
      </c>
      <c r="AC23" s="124">
        <v>24</v>
      </c>
      <c r="AD23" s="8">
        <v>2</v>
      </c>
      <c r="AE23">
        <f t="shared" si="18"/>
        <v>172</v>
      </c>
      <c r="AF23">
        <v>7</v>
      </c>
      <c r="AG23" s="47">
        <f t="shared" si="19"/>
        <v>24.571428571428573</v>
      </c>
      <c r="AH23" s="47">
        <f t="shared" si="20"/>
        <v>49.142857142857146</v>
      </c>
      <c r="AI23" s="124">
        <v>2</v>
      </c>
      <c r="AJ23" s="77">
        <f t="shared" si="15"/>
        <v>170</v>
      </c>
      <c r="AK23">
        <v>7</v>
      </c>
      <c r="AL23" s="12">
        <f t="shared" si="16"/>
        <v>24.285714285714285</v>
      </c>
      <c r="AM23" s="12">
        <f t="shared" si="17"/>
        <v>48.571428571428569</v>
      </c>
      <c r="AN23">
        <v>24</v>
      </c>
      <c r="AO23">
        <v>23</v>
      </c>
      <c r="AP23">
        <v>28</v>
      </c>
      <c r="AQ23">
        <v>23</v>
      </c>
      <c r="AR23">
        <v>24</v>
      </c>
      <c r="AS23">
        <v>18</v>
      </c>
      <c r="AT23" s="8">
        <v>2</v>
      </c>
      <c r="AU23">
        <f t="shared" si="23"/>
        <v>140</v>
      </c>
      <c r="AV23">
        <v>6</v>
      </c>
      <c r="AW23" s="47">
        <f t="shared" si="24"/>
        <v>23.333333333333332</v>
      </c>
      <c r="AX23" s="47">
        <f t="shared" si="6"/>
        <v>46.666666666666664</v>
      </c>
      <c r="AY23">
        <v>26</v>
      </c>
      <c r="AZ23">
        <v>28</v>
      </c>
      <c r="BA23">
        <v>28</v>
      </c>
      <c r="BB23">
        <v>30</v>
      </c>
      <c r="BC23">
        <v>25</v>
      </c>
      <c r="BD23">
        <v>27</v>
      </c>
      <c r="BE23">
        <v>2</v>
      </c>
      <c r="BF23" s="78">
        <f>SUM(AY23:BD23)</f>
        <v>164</v>
      </c>
      <c r="BG23">
        <v>6</v>
      </c>
      <c r="BH23" s="79">
        <f t="shared" si="7"/>
        <v>27.333333333333332</v>
      </c>
      <c r="BI23" s="79">
        <f t="shared" si="8"/>
        <v>54.666666666666664</v>
      </c>
      <c r="BJ23" s="148" t="str">
        <f t="shared" si="2"/>
        <v>▲ 4.00</v>
      </c>
      <c r="BK23">
        <f t="shared" si="3"/>
        <v>24.5</v>
      </c>
      <c r="BL23" s="150" t="str">
        <f t="shared" si="4"/>
        <v>▲ 2.83</v>
      </c>
      <c r="BM23">
        <v>21</v>
      </c>
      <c r="BN23">
        <v>24</v>
      </c>
      <c r="BO23">
        <v>24</v>
      </c>
      <c r="BT23">
        <v>2</v>
      </c>
      <c r="BU23" s="78">
        <f t="shared" si="9"/>
        <v>69</v>
      </c>
      <c r="BV23">
        <v>3</v>
      </c>
      <c r="BW23" s="79">
        <f t="shared" si="10"/>
        <v>23</v>
      </c>
      <c r="BX23" s="79">
        <f t="shared" si="11"/>
        <v>46</v>
      </c>
    </row>
    <row r="24" spans="1:76" ht="14.5" hidden="1" x14ac:dyDescent="0.35">
      <c r="A24" s="5" t="s">
        <v>4</v>
      </c>
      <c r="B24" s="72" t="s">
        <v>29</v>
      </c>
      <c r="C24" s="60" t="s">
        <v>17</v>
      </c>
      <c r="D24" s="4" t="s">
        <v>35</v>
      </c>
      <c r="E24" s="72" t="s">
        <v>116</v>
      </c>
      <c r="F24" s="106"/>
      <c r="G24" s="106"/>
      <c r="H24" s="106"/>
      <c r="I24" s="106"/>
      <c r="J24" s="106"/>
      <c r="K24" s="106"/>
      <c r="L24" s="106"/>
      <c r="M24" s="106"/>
      <c r="N24" s="106"/>
      <c r="O24" s="106"/>
      <c r="P24" s="106"/>
      <c r="Q24" s="8">
        <v>4</v>
      </c>
      <c r="R24">
        <f t="shared" si="12"/>
        <v>0</v>
      </c>
      <c r="S24">
        <v>6</v>
      </c>
      <c r="T24" s="47">
        <f t="shared" si="13"/>
        <v>0</v>
      </c>
      <c r="U24" s="47">
        <f t="shared" si="14"/>
        <v>0</v>
      </c>
      <c r="V24" s="122">
        <v>40</v>
      </c>
      <c r="W24" s="122">
        <v>33</v>
      </c>
      <c r="X24" s="122">
        <v>4</v>
      </c>
      <c r="Y24" s="123">
        <v>51</v>
      </c>
      <c r="Z24" s="124">
        <v>51</v>
      </c>
      <c r="AA24" s="124">
        <v>41</v>
      </c>
      <c r="AB24" s="124">
        <v>24</v>
      </c>
      <c r="AC24" s="124">
        <v>9</v>
      </c>
      <c r="AD24" s="8">
        <v>4</v>
      </c>
      <c r="AE24">
        <f t="shared" si="18"/>
        <v>253</v>
      </c>
      <c r="AF24">
        <v>7</v>
      </c>
      <c r="AG24" s="47">
        <f t="shared" si="19"/>
        <v>36.142857142857146</v>
      </c>
      <c r="AH24" s="47">
        <f t="shared" si="20"/>
        <v>72.285714285714292</v>
      </c>
      <c r="AI24" s="124">
        <v>4</v>
      </c>
      <c r="AJ24" s="77">
        <f t="shared" si="15"/>
        <v>249</v>
      </c>
      <c r="AK24">
        <v>7</v>
      </c>
      <c r="AL24" s="12">
        <f t="shared" si="16"/>
        <v>35.571428571428569</v>
      </c>
      <c r="AM24" s="12">
        <f t="shared" si="17"/>
        <v>71.142857142857139</v>
      </c>
      <c r="AN24">
        <v>42</v>
      </c>
      <c r="AO24">
        <v>42</v>
      </c>
      <c r="AP24">
        <v>38</v>
      </c>
      <c r="AQ24">
        <v>34</v>
      </c>
      <c r="AR24">
        <v>35</v>
      </c>
      <c r="AS24">
        <v>29</v>
      </c>
      <c r="AT24" s="8">
        <v>3</v>
      </c>
      <c r="AU24">
        <f t="shared" si="23"/>
        <v>220</v>
      </c>
      <c r="AV24">
        <v>6</v>
      </c>
      <c r="AW24" s="47">
        <f t="shared" si="24"/>
        <v>36.666666666666664</v>
      </c>
      <c r="AX24" s="47">
        <f t="shared" si="6"/>
        <v>73.333333333333329</v>
      </c>
      <c r="AY24">
        <v>24</v>
      </c>
      <c r="AZ24">
        <v>48</v>
      </c>
      <c r="BA24">
        <v>47</v>
      </c>
      <c r="BB24">
        <v>46</v>
      </c>
      <c r="BC24">
        <v>50</v>
      </c>
      <c r="BD24">
        <v>49</v>
      </c>
      <c r="BE24">
        <v>5</v>
      </c>
      <c r="BF24" s="78">
        <f>SUM(AY24:BD24)</f>
        <v>264</v>
      </c>
      <c r="BG24">
        <v>6</v>
      </c>
      <c r="BH24" s="79">
        <f t="shared" si="7"/>
        <v>44</v>
      </c>
      <c r="BI24" s="79">
        <f t="shared" si="8"/>
        <v>88</v>
      </c>
      <c r="BJ24" s="148" t="str">
        <f t="shared" si="2"/>
        <v>▲ 7.33</v>
      </c>
      <c r="BK24">
        <f t="shared" si="3"/>
        <v>39</v>
      </c>
      <c r="BL24" s="150" t="str">
        <f t="shared" si="4"/>
        <v>▲ 5.00</v>
      </c>
      <c r="BM24">
        <v>43</v>
      </c>
      <c r="BN24">
        <v>50</v>
      </c>
      <c r="BO24">
        <v>46</v>
      </c>
      <c r="BT24">
        <v>5</v>
      </c>
      <c r="BU24" s="78">
        <f t="shared" si="9"/>
        <v>139</v>
      </c>
      <c r="BV24">
        <v>3</v>
      </c>
      <c r="BW24" s="79">
        <f t="shared" si="10"/>
        <v>46.333333333333336</v>
      </c>
      <c r="BX24" s="79">
        <f t="shared" si="11"/>
        <v>92.666666666666671</v>
      </c>
    </row>
    <row r="25" spans="1:76" ht="14.5" hidden="1" x14ac:dyDescent="0.35">
      <c r="A25" s="5" t="s">
        <v>4</v>
      </c>
      <c r="B25" s="72" t="s">
        <v>29</v>
      </c>
      <c r="C25" s="60" t="s">
        <v>17</v>
      </c>
      <c r="D25" s="4" t="s">
        <v>36</v>
      </c>
      <c r="E25" s="72" t="s">
        <v>116</v>
      </c>
      <c r="F25" s="106"/>
      <c r="G25" s="106"/>
      <c r="H25" s="106"/>
      <c r="I25" s="106"/>
      <c r="J25" s="106"/>
      <c r="K25" s="106"/>
      <c r="L25" s="106"/>
      <c r="M25" s="106"/>
      <c r="N25" s="106"/>
      <c r="O25" s="106"/>
      <c r="P25" s="106"/>
      <c r="Q25" s="8">
        <v>2</v>
      </c>
      <c r="R25">
        <f t="shared" si="12"/>
        <v>0</v>
      </c>
      <c r="S25">
        <v>6</v>
      </c>
      <c r="T25" s="47">
        <f t="shared" si="13"/>
        <v>0</v>
      </c>
      <c r="U25" s="47">
        <f t="shared" si="14"/>
        <v>0</v>
      </c>
      <c r="V25" s="122">
        <v>10</v>
      </c>
      <c r="W25" s="122">
        <v>13</v>
      </c>
      <c r="X25" s="122">
        <v>2</v>
      </c>
      <c r="Y25" s="123">
        <v>16</v>
      </c>
      <c r="Z25" s="124">
        <v>23</v>
      </c>
      <c r="AA25" s="124">
        <v>5</v>
      </c>
      <c r="AB25" s="124">
        <v>2</v>
      </c>
      <c r="AC25" s="124">
        <v>5</v>
      </c>
      <c r="AD25" s="8">
        <v>2</v>
      </c>
      <c r="AE25">
        <f t="shared" si="18"/>
        <v>76</v>
      </c>
      <c r="AF25">
        <v>7</v>
      </c>
      <c r="AG25" s="47">
        <f t="shared" si="19"/>
        <v>10.857142857142858</v>
      </c>
      <c r="AH25" s="47">
        <f t="shared" si="20"/>
        <v>21.714285714285715</v>
      </c>
      <c r="AI25" s="124">
        <v>2</v>
      </c>
      <c r="AJ25" s="77">
        <f t="shared" si="15"/>
        <v>74</v>
      </c>
      <c r="AK25">
        <v>7</v>
      </c>
      <c r="AL25" s="12">
        <f t="shared" si="16"/>
        <v>10.571428571428571</v>
      </c>
      <c r="AM25" s="12">
        <f t="shared" si="17"/>
        <v>21.142857142857142</v>
      </c>
      <c r="AN25" t="s">
        <v>6</v>
      </c>
      <c r="AO25" t="s">
        <v>6</v>
      </c>
      <c r="AP25" t="s">
        <v>6</v>
      </c>
      <c r="AQ25" t="s">
        <v>6</v>
      </c>
      <c r="AR25">
        <v>17</v>
      </c>
      <c r="AS25">
        <v>13</v>
      </c>
      <c r="AT25" s="8">
        <v>2</v>
      </c>
      <c r="AU25">
        <f t="shared" si="23"/>
        <v>30</v>
      </c>
      <c r="AV25">
        <v>6</v>
      </c>
      <c r="AW25" s="47">
        <f t="shared" si="24"/>
        <v>5</v>
      </c>
      <c r="AX25" s="47">
        <f t="shared" si="6"/>
        <v>10</v>
      </c>
      <c r="AY25">
        <v>10</v>
      </c>
      <c r="AZ25" s="171"/>
      <c r="BA25" s="171"/>
      <c r="BB25" s="171"/>
      <c r="BC25" s="171"/>
      <c r="BD25" s="171"/>
      <c r="BE25" s="171">
        <v>1</v>
      </c>
      <c r="BF25" s="172">
        <f>SUM(AY25:BD25)</f>
        <v>10</v>
      </c>
      <c r="BG25" s="171">
        <v>1</v>
      </c>
      <c r="BH25" s="173">
        <f t="shared" si="7"/>
        <v>10</v>
      </c>
      <c r="BI25" s="173">
        <f t="shared" si="8"/>
        <v>20</v>
      </c>
      <c r="BJ25" s="174" t="str">
        <f t="shared" si="2"/>
        <v>▲ 5.00</v>
      </c>
      <c r="BK25" s="171">
        <f t="shared" si="3"/>
        <v>0</v>
      </c>
      <c r="BL25" s="175" t="str">
        <f t="shared" si="4"/>
        <v>▲ 10.00</v>
      </c>
      <c r="BM25" s="171"/>
      <c r="BN25" s="171"/>
      <c r="BO25" s="171"/>
      <c r="BP25" s="171"/>
      <c r="BQ25" s="171"/>
      <c r="BR25" s="171"/>
      <c r="BS25" s="171"/>
      <c r="BT25" s="171"/>
      <c r="BU25" s="172"/>
      <c r="BV25" s="171"/>
      <c r="BW25" s="173"/>
      <c r="BX25" s="173"/>
    </row>
    <row r="26" spans="1:76" ht="14.5" hidden="1" x14ac:dyDescent="0.35">
      <c r="A26" s="71" t="s">
        <v>4</v>
      </c>
      <c r="B26" s="72" t="s">
        <v>23</v>
      </c>
      <c r="C26" s="58" t="s">
        <v>11</v>
      </c>
      <c r="D26" s="100" t="s">
        <v>144</v>
      </c>
      <c r="E26" s="72" t="s">
        <v>116</v>
      </c>
      <c r="F26" s="106"/>
      <c r="G26" s="106"/>
      <c r="H26" s="106"/>
      <c r="I26" s="106"/>
      <c r="J26" s="106"/>
      <c r="K26" s="106"/>
      <c r="L26" s="106"/>
      <c r="M26" s="106"/>
      <c r="N26" s="106"/>
      <c r="O26" s="106"/>
      <c r="P26" s="106"/>
      <c r="V26" s="122"/>
      <c r="W26" s="122"/>
      <c r="X26" s="122"/>
      <c r="Y26" s="123"/>
      <c r="Z26" s="124"/>
      <c r="AA26" s="124"/>
      <c r="AB26" s="124"/>
      <c r="AC26" s="124"/>
      <c r="AI26" s="124"/>
      <c r="AJ26" s="77"/>
      <c r="AL26" s="12"/>
      <c r="AM26" s="12"/>
      <c r="AU26">
        <f t="shared" si="23"/>
        <v>0</v>
      </c>
      <c r="AV26">
        <v>6</v>
      </c>
      <c r="AW26" s="47">
        <f t="shared" si="24"/>
        <v>0</v>
      </c>
      <c r="AX26" s="47">
        <f t="shared" si="6"/>
        <v>0</v>
      </c>
      <c r="AY26">
        <v>10</v>
      </c>
      <c r="AZ26">
        <v>27</v>
      </c>
      <c r="BA26">
        <v>8</v>
      </c>
      <c r="BB26">
        <v>17</v>
      </c>
      <c r="BC26">
        <v>15</v>
      </c>
      <c r="BD26">
        <v>7</v>
      </c>
      <c r="BE26">
        <v>2</v>
      </c>
      <c r="BF26" s="78">
        <f>SUM(AY26:BD26)</f>
        <v>84</v>
      </c>
      <c r="BG26">
        <v>6</v>
      </c>
      <c r="BH26" s="79">
        <f t="shared" si="7"/>
        <v>14</v>
      </c>
      <c r="BI26" s="79">
        <f t="shared" si="8"/>
        <v>28</v>
      </c>
      <c r="BJ26" s="148" t="str">
        <f t="shared" si="2"/>
        <v>▲ 14.00</v>
      </c>
      <c r="BK26">
        <f t="shared" si="3"/>
        <v>0</v>
      </c>
      <c r="BL26" s="150" t="str">
        <f t="shared" si="4"/>
        <v>▲ 14.00</v>
      </c>
      <c r="BM26">
        <v>14</v>
      </c>
      <c r="BT26">
        <v>2</v>
      </c>
      <c r="BU26" s="78">
        <f t="shared" si="9"/>
        <v>14</v>
      </c>
      <c r="BV26">
        <v>1</v>
      </c>
      <c r="BW26" s="79">
        <f t="shared" si="10"/>
        <v>14</v>
      </c>
      <c r="BX26" s="79">
        <f t="shared" si="11"/>
        <v>28</v>
      </c>
    </row>
    <row r="27" spans="1:76" ht="14.5" hidden="1" x14ac:dyDescent="0.35">
      <c r="A27" s="5" t="s">
        <v>4</v>
      </c>
      <c r="B27" s="11"/>
      <c r="C27" s="72"/>
      <c r="D27" s="4"/>
      <c r="E27" s="11"/>
      <c r="F27" s="106"/>
      <c r="G27" s="106"/>
      <c r="H27" s="106"/>
      <c r="I27" s="106"/>
      <c r="J27" s="106"/>
      <c r="K27" s="106"/>
      <c r="L27" s="106"/>
      <c r="M27" s="106"/>
      <c r="N27" s="106"/>
      <c r="O27" s="106"/>
      <c r="P27" s="106"/>
      <c r="V27" s="122"/>
      <c r="W27" s="122"/>
      <c r="X27" s="122"/>
      <c r="Y27" s="123"/>
      <c r="Z27" s="124"/>
      <c r="AA27" s="124"/>
      <c r="AB27" s="124"/>
      <c r="AC27" s="124"/>
      <c r="AI27" s="124"/>
      <c r="AJ27" s="77"/>
      <c r="AL27" s="12"/>
      <c r="AM27" s="12"/>
      <c r="AU27">
        <f t="shared" si="23"/>
        <v>0</v>
      </c>
      <c r="AV27">
        <v>6</v>
      </c>
      <c r="AW27" s="47">
        <f t="shared" si="24"/>
        <v>0</v>
      </c>
      <c r="AX27" s="47">
        <f t="shared" si="6"/>
        <v>0</v>
      </c>
      <c r="BJ27" s="148" t="str">
        <f t="shared" si="2"/>
        <v/>
      </c>
      <c r="BL27" s="150" t="str">
        <f t="shared" si="4"/>
        <v/>
      </c>
    </row>
    <row r="28" spans="1:76" ht="14.5" hidden="1" x14ac:dyDescent="0.35">
      <c r="A28" s="5" t="s">
        <v>4</v>
      </c>
      <c r="B28" s="11"/>
      <c r="C28" s="72"/>
      <c r="D28" s="4"/>
      <c r="E28" s="11"/>
      <c r="F28" s="106"/>
      <c r="G28" s="106"/>
      <c r="H28" s="106"/>
      <c r="I28" s="106"/>
      <c r="J28" s="106"/>
      <c r="K28" s="106"/>
      <c r="L28" s="106"/>
      <c r="M28" s="106"/>
      <c r="N28" s="106"/>
      <c r="O28" s="106"/>
      <c r="P28" s="106"/>
      <c r="V28" s="122"/>
      <c r="W28" s="122"/>
      <c r="X28" s="122"/>
      <c r="Y28" s="123"/>
      <c r="Z28" s="124"/>
      <c r="AA28" s="124"/>
      <c r="AB28" s="124"/>
      <c r="AC28" s="124"/>
      <c r="AI28" s="124"/>
      <c r="AJ28" s="77"/>
      <c r="AL28" s="12"/>
      <c r="AM28" s="12"/>
      <c r="AU28">
        <f t="shared" si="23"/>
        <v>0</v>
      </c>
      <c r="AV28">
        <v>6</v>
      </c>
      <c r="AW28" s="47">
        <f t="shared" si="24"/>
        <v>0</v>
      </c>
      <c r="AX28" s="47">
        <f t="shared" si="6"/>
        <v>0</v>
      </c>
      <c r="BJ28" s="148" t="str">
        <f t="shared" si="2"/>
        <v/>
      </c>
      <c r="BL28" s="150" t="str">
        <f t="shared" si="4"/>
        <v/>
      </c>
    </row>
    <row r="29" spans="1:76" ht="14.5" hidden="1" x14ac:dyDescent="0.35">
      <c r="A29" s="5" t="s">
        <v>4</v>
      </c>
      <c r="B29" s="11"/>
      <c r="C29" s="11"/>
      <c r="D29" s="4"/>
      <c r="E29" s="11"/>
      <c r="F29" s="106"/>
      <c r="G29" s="106"/>
      <c r="H29" s="106"/>
      <c r="I29" s="106"/>
      <c r="J29" s="106"/>
      <c r="K29" s="106"/>
      <c r="L29" s="106"/>
      <c r="M29" s="106"/>
      <c r="N29" s="106"/>
      <c r="O29" s="106"/>
      <c r="P29" s="106"/>
      <c r="V29" s="122"/>
      <c r="W29" s="122"/>
      <c r="X29" s="122"/>
      <c r="Y29" s="123"/>
      <c r="Z29" s="124"/>
      <c r="AA29" s="124"/>
      <c r="AB29" s="124"/>
      <c r="AC29" s="124"/>
      <c r="AI29" s="124"/>
      <c r="AJ29" s="77"/>
      <c r="AL29" s="12"/>
      <c r="AM29" s="12"/>
      <c r="AU29">
        <f t="shared" si="23"/>
        <v>0</v>
      </c>
      <c r="AV29">
        <v>6</v>
      </c>
      <c r="AW29" s="47">
        <f t="shared" si="24"/>
        <v>0</v>
      </c>
      <c r="AX29" s="47">
        <f t="shared" si="6"/>
        <v>0</v>
      </c>
      <c r="BJ29" s="148" t="str">
        <f t="shared" si="2"/>
        <v/>
      </c>
      <c r="BL29" s="150" t="str">
        <f t="shared" si="4"/>
        <v/>
      </c>
    </row>
    <row r="30" spans="1:76" ht="14.5" hidden="1" x14ac:dyDescent="0.35">
      <c r="A30" s="5" t="s">
        <v>4</v>
      </c>
      <c r="B30" s="11"/>
      <c r="C30" s="11"/>
      <c r="D30" s="4"/>
      <c r="E30" s="11"/>
      <c r="F30" s="106"/>
      <c r="G30" s="106"/>
      <c r="H30" s="106"/>
      <c r="I30" s="106"/>
      <c r="J30" s="106"/>
      <c r="K30" s="106"/>
      <c r="L30" s="106"/>
      <c r="M30" s="106"/>
      <c r="N30" s="106"/>
      <c r="O30" s="106"/>
      <c r="P30" s="106"/>
      <c r="V30" s="122"/>
      <c r="W30" s="122"/>
      <c r="X30" s="122"/>
      <c r="Y30" s="123"/>
      <c r="Z30" s="124"/>
      <c r="AA30" s="124"/>
      <c r="AB30" s="124"/>
      <c r="AC30" s="124"/>
      <c r="AI30" s="124"/>
      <c r="AJ30" s="77"/>
      <c r="AL30" s="12"/>
      <c r="AM30" s="12"/>
      <c r="AU30">
        <f t="shared" si="23"/>
        <v>0</v>
      </c>
      <c r="AV30">
        <v>6</v>
      </c>
      <c r="AW30" s="47">
        <f t="shared" si="24"/>
        <v>0</v>
      </c>
      <c r="AX30" s="47">
        <f t="shared" si="6"/>
        <v>0</v>
      </c>
      <c r="BJ30" s="148" t="str">
        <f t="shared" si="2"/>
        <v/>
      </c>
      <c r="BL30" s="150" t="str">
        <f t="shared" si="4"/>
        <v/>
      </c>
    </row>
    <row r="31" spans="1:76" ht="15" hidden="1" customHeight="1" x14ac:dyDescent="0.35">
      <c r="AU31">
        <f t="shared" si="23"/>
        <v>0</v>
      </c>
      <c r="AV31">
        <v>6</v>
      </c>
      <c r="AW31" s="47">
        <f t="shared" si="24"/>
        <v>0</v>
      </c>
      <c r="AX31" s="47">
        <f t="shared" si="6"/>
        <v>0</v>
      </c>
      <c r="BJ31" s="148" t="str">
        <f t="shared" si="2"/>
        <v/>
      </c>
      <c r="BL31" s="150" t="str">
        <f t="shared" si="4"/>
        <v/>
      </c>
    </row>
    <row r="32" spans="1:76" ht="15" hidden="1" customHeight="1" x14ac:dyDescent="0.35">
      <c r="BJ32" s="148" t="str">
        <f t="shared" si="2"/>
        <v/>
      </c>
      <c r="BL32" s="150" t="str">
        <f t="shared" si="4"/>
        <v/>
      </c>
    </row>
    <row r="33" spans="47:75" ht="15" hidden="1" customHeight="1" x14ac:dyDescent="0.35">
      <c r="AU33" s="12"/>
      <c r="BJ33" s="148" t="str">
        <f t="shared" si="2"/>
        <v/>
      </c>
      <c r="BL33" s="150" t="str">
        <f t="shared" si="4"/>
        <v/>
      </c>
    </row>
    <row r="36" spans="47:75" ht="15" customHeight="1" x14ac:dyDescent="0.35">
      <c r="BW36" s="79"/>
    </row>
    <row r="37" spans="47:75" ht="15" customHeight="1" x14ac:dyDescent="0.35">
      <c r="BW37" s="79"/>
    </row>
  </sheetData>
  <autoFilter ref="A1:BI33" xr:uid="{68110123-C498-403B-B4D0-E8D35F841589}">
    <filterColumn colId="3">
      <filters>
        <filter val="Celestial (Titan)"/>
        <filter val="Celestial (Universal)"/>
      </filters>
    </filterColumn>
  </autoFilter>
  <conditionalFormatting sqref="BJ2:BJ33">
    <cfRule type="expression" dxfId="20" priority="1">
      <formula>LEFT($BJ2,1)="▲"</formula>
    </cfRule>
    <cfRule type="expression" dxfId="19" priority="2">
      <formula>LEFT($BJ2,1)="▼"</formula>
    </cfRule>
    <cfRule type="expression" dxfId="18" priority="3">
      <formula>LEFT($BJ2,1)="●"</formula>
    </cfRule>
  </conditionalFormatting>
  <conditionalFormatting sqref="BL2:BL33">
    <cfRule type="expression" dxfId="17" priority="4">
      <formula>LEFT(BL2,1)="▲"</formula>
    </cfRule>
    <cfRule type="expression" dxfId="16" priority="5">
      <formula>LEFT(BL2,1)="▼"</formula>
    </cfRule>
    <cfRule type="expression" dxfId="15" priority="6">
      <formula>LEFT(BL2,1)="●"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93693-8069-4AB1-A1C8-71FC88BEA76E}">
  <dimension ref="A1:E11"/>
  <sheetViews>
    <sheetView zoomScaleNormal="100" workbookViewId="0">
      <selection activeCell="C5" sqref="C5"/>
    </sheetView>
  </sheetViews>
  <sheetFormatPr defaultRowHeight="14.5" x14ac:dyDescent="0.35"/>
  <cols>
    <col min="1" max="1" width="17.36328125" bestFit="1" customWidth="1"/>
    <col min="2" max="2" width="24" bestFit="1" customWidth="1"/>
    <col min="3" max="3" width="22.453125" bestFit="1" customWidth="1"/>
    <col min="4" max="4" width="23" bestFit="1" customWidth="1"/>
    <col min="5" max="5" width="24" bestFit="1" customWidth="1"/>
    <col min="6" max="6" width="23.36328125" bestFit="1" customWidth="1"/>
  </cols>
  <sheetData>
    <row r="1" spans="1:5" x14ac:dyDescent="0.35">
      <c r="A1" s="13" t="s">
        <v>2</v>
      </c>
      <c r="B1" t="s">
        <v>44</v>
      </c>
    </row>
    <row r="2" spans="1:5" x14ac:dyDescent="0.35">
      <c r="A2" s="13" t="s">
        <v>115</v>
      </c>
      <c r="B2" t="s">
        <v>116</v>
      </c>
    </row>
    <row r="4" spans="1:5" x14ac:dyDescent="0.35">
      <c r="A4" s="13" t="s">
        <v>45</v>
      </c>
      <c r="B4" t="s">
        <v>202</v>
      </c>
      <c r="C4" t="s">
        <v>203</v>
      </c>
      <c r="D4" t="s">
        <v>224</v>
      </c>
      <c r="E4" t="s">
        <v>235</v>
      </c>
    </row>
    <row r="5" spans="1:5" x14ac:dyDescent="0.35">
      <c r="A5" s="14" t="s">
        <v>17</v>
      </c>
      <c r="B5" s="12">
        <v>71.571428571428584</v>
      </c>
      <c r="C5" s="12">
        <v>65</v>
      </c>
      <c r="D5" s="12">
        <v>81.333333333333329</v>
      </c>
      <c r="E5" s="12">
        <v>69.333333333333343</v>
      </c>
    </row>
    <row r="6" spans="1:5" x14ac:dyDescent="0.35">
      <c r="A6" s="14" t="s">
        <v>7</v>
      </c>
      <c r="B6" s="12">
        <v>249.8095238095238</v>
      </c>
      <c r="C6" s="12">
        <v>279</v>
      </c>
      <c r="D6" s="12">
        <v>271.58333333333337</v>
      </c>
      <c r="E6" s="12">
        <v>260.16666666666669</v>
      </c>
    </row>
    <row r="7" spans="1:5" x14ac:dyDescent="0.35">
      <c r="A7" s="14" t="s">
        <v>15</v>
      </c>
      <c r="B7" s="12">
        <v>44.714285714285715</v>
      </c>
      <c r="C7" s="12">
        <v>57.166666666666664</v>
      </c>
      <c r="D7" s="12">
        <v>61.166666666666664</v>
      </c>
      <c r="E7" s="12">
        <v>82.5</v>
      </c>
    </row>
    <row r="8" spans="1:5" x14ac:dyDescent="0.35">
      <c r="A8" s="14" t="s">
        <v>11</v>
      </c>
      <c r="B8" s="12">
        <v>180.97142857142856</v>
      </c>
      <c r="C8" s="12">
        <v>132.41666666666666</v>
      </c>
      <c r="D8" s="12">
        <v>111.58333333333333</v>
      </c>
      <c r="E8" s="12">
        <v>110.66666666666666</v>
      </c>
    </row>
    <row r="9" spans="1:5" x14ac:dyDescent="0.35">
      <c r="A9" s="14" t="s">
        <v>9</v>
      </c>
      <c r="B9" s="12">
        <v>170.28571428571428</v>
      </c>
      <c r="C9" s="12">
        <v>180.66666666666669</v>
      </c>
      <c r="D9" s="12">
        <v>201.33333333333334</v>
      </c>
      <c r="E9" s="12">
        <v>209.66666666666666</v>
      </c>
    </row>
    <row r="10" spans="1:5" x14ac:dyDescent="0.35">
      <c r="A10" s="14" t="s">
        <v>13</v>
      </c>
      <c r="B10" s="12">
        <v>175.57142857142856</v>
      </c>
      <c r="C10" s="12">
        <v>188</v>
      </c>
      <c r="D10" s="12">
        <v>180.01666666666668</v>
      </c>
      <c r="E10" s="12">
        <v>179.66666666666669</v>
      </c>
    </row>
    <row r="11" spans="1:5" x14ac:dyDescent="0.35">
      <c r="A11" s="14" t="s">
        <v>46</v>
      </c>
      <c r="B11" s="12">
        <v>892.92380952380961</v>
      </c>
      <c r="C11" s="12">
        <v>902.25</v>
      </c>
      <c r="D11" s="12">
        <v>907.01666666666677</v>
      </c>
      <c r="E11" s="12">
        <v>912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D2C3E-470B-4867-945D-10ED45B952EE}">
  <dimension ref="A1:AT27"/>
  <sheetViews>
    <sheetView zoomScale="110" zoomScaleNormal="110" workbookViewId="0">
      <pane xSplit="6" ySplit="1" topLeftCell="AM19" activePane="bottomRight" state="frozen"/>
      <selection pane="topRight" activeCell="L1" sqref="L1"/>
      <selection pane="bottomLeft" activeCell="A2" sqref="A2"/>
      <selection pane="bottomRight" activeCell="AT1" sqref="AT1"/>
    </sheetView>
  </sheetViews>
  <sheetFormatPr defaultRowHeight="14.5" x14ac:dyDescent="0.35"/>
  <cols>
    <col min="6" max="6" width="14.08984375" customWidth="1"/>
    <col min="22" max="22" width="8.7265625" style="20"/>
    <col min="23" max="23" width="12.1796875" style="20" customWidth="1"/>
    <col min="24" max="31" width="11.54296875" customWidth="1"/>
    <col min="32" max="37" width="11.7265625" customWidth="1"/>
    <col min="38" max="38" width="11.54296875" customWidth="1"/>
    <col min="39" max="45" width="11.7265625" customWidth="1"/>
    <col min="46" max="46" width="11.54296875" customWidth="1"/>
  </cols>
  <sheetData>
    <row r="1" spans="1:46" ht="132" x14ac:dyDescent="0.35">
      <c r="A1" s="22" t="s">
        <v>0</v>
      </c>
      <c r="B1" s="22" t="s">
        <v>1</v>
      </c>
      <c r="C1" s="22" t="s">
        <v>2</v>
      </c>
      <c r="D1" s="131" t="s">
        <v>62</v>
      </c>
      <c r="E1" s="131" t="s">
        <v>115</v>
      </c>
      <c r="F1" s="22" t="s">
        <v>3</v>
      </c>
      <c r="G1" s="41" t="s">
        <v>117</v>
      </c>
      <c r="H1" s="41" t="s">
        <v>118</v>
      </c>
      <c r="I1" s="41" t="s">
        <v>119</v>
      </c>
      <c r="J1" s="41" t="s">
        <v>120</v>
      </c>
      <c r="K1" s="41" t="s">
        <v>121</v>
      </c>
      <c r="L1" s="41" t="s">
        <v>122</v>
      </c>
      <c r="M1" s="41" t="s">
        <v>123</v>
      </c>
      <c r="N1" s="41" t="s">
        <v>124</v>
      </c>
      <c r="O1" s="41" t="s">
        <v>125</v>
      </c>
      <c r="P1" s="41" t="s">
        <v>126</v>
      </c>
      <c r="Q1" s="41" t="s">
        <v>127</v>
      </c>
      <c r="R1" s="41" t="s">
        <v>128</v>
      </c>
      <c r="S1" s="41" t="s">
        <v>129</v>
      </c>
      <c r="T1" s="41" t="s">
        <v>130</v>
      </c>
      <c r="U1" s="41" t="s">
        <v>131</v>
      </c>
      <c r="V1" s="128" t="s">
        <v>134</v>
      </c>
      <c r="W1" s="128" t="s">
        <v>132</v>
      </c>
      <c r="X1" s="128" t="s">
        <v>133</v>
      </c>
      <c r="Y1" s="41" t="s">
        <v>57</v>
      </c>
      <c r="Z1" s="41" t="s">
        <v>60</v>
      </c>
      <c r="AA1" s="41" t="s">
        <v>58</v>
      </c>
      <c r="AB1" s="41" t="s">
        <v>61</v>
      </c>
      <c r="AC1" s="41" t="s">
        <v>59</v>
      </c>
      <c r="AD1" s="41" t="s">
        <v>136</v>
      </c>
      <c r="AE1" s="128" t="s">
        <v>135</v>
      </c>
      <c r="AF1" s="41" t="s">
        <v>158</v>
      </c>
      <c r="AG1" s="41" t="s">
        <v>159</v>
      </c>
      <c r="AH1" s="41" t="s">
        <v>160</v>
      </c>
      <c r="AI1" s="41" t="s">
        <v>161</v>
      </c>
      <c r="AJ1" s="41" t="s">
        <v>162</v>
      </c>
      <c r="AK1" s="41" t="s">
        <v>204</v>
      </c>
      <c r="AL1" s="128" t="s">
        <v>163</v>
      </c>
      <c r="AM1" s="41" t="s">
        <v>236</v>
      </c>
      <c r="AN1" s="41" t="s">
        <v>119</v>
      </c>
      <c r="AO1" s="41" t="s">
        <v>237</v>
      </c>
      <c r="AP1" s="41" t="s">
        <v>121</v>
      </c>
      <c r="AQ1" s="41" t="s">
        <v>238</v>
      </c>
      <c r="AR1" s="41" t="s">
        <v>239</v>
      </c>
      <c r="AS1" s="41" t="s">
        <v>240</v>
      </c>
      <c r="AT1" s="128" t="s">
        <v>241</v>
      </c>
    </row>
    <row r="2" spans="1:46" ht="24" x14ac:dyDescent="0.35">
      <c r="A2" s="17">
        <v>1</v>
      </c>
      <c r="B2" s="17" t="s">
        <v>4</v>
      </c>
      <c r="C2" s="18" t="s">
        <v>5</v>
      </c>
      <c r="D2" s="19" t="s">
        <v>7</v>
      </c>
      <c r="E2" s="26" t="s">
        <v>116</v>
      </c>
      <c r="F2" s="27" t="s">
        <v>139</v>
      </c>
      <c r="G2" s="37"/>
      <c r="H2" s="37"/>
      <c r="I2" s="37"/>
      <c r="J2" s="37"/>
      <c r="K2" s="37"/>
      <c r="L2" s="37"/>
      <c r="M2" s="37"/>
      <c r="N2" s="37"/>
      <c r="O2" s="37"/>
      <c r="P2" s="37"/>
      <c r="Q2" s="37"/>
      <c r="R2" s="37"/>
      <c r="S2" s="40">
        <v>4.67</v>
      </c>
      <c r="T2" s="40">
        <v>1.69</v>
      </c>
      <c r="U2" s="38">
        <v>0.89</v>
      </c>
      <c r="V2" s="39">
        <f>IFERROR(AVERAGE(G2:U2),0)</f>
        <v>2.4166666666666665</v>
      </c>
      <c r="W2" s="39"/>
      <c r="X2" s="38">
        <f>IFERROR(AVERAGE(O2:U2),0)</f>
        <v>2.4166666666666665</v>
      </c>
      <c r="Y2" s="40">
        <v>0.39</v>
      </c>
      <c r="Z2" s="40">
        <v>1.04</v>
      </c>
      <c r="AA2" s="40">
        <v>1.32</v>
      </c>
      <c r="AB2" s="40">
        <v>0.67</v>
      </c>
      <c r="AC2" s="40">
        <v>0.28000000000000003</v>
      </c>
      <c r="AD2" s="40">
        <v>4.666666666666667</v>
      </c>
      <c r="AE2" s="38">
        <f>IFERROR(AVERAGE(Y2:AD2),0)</f>
        <v>1.3944444444444446</v>
      </c>
      <c r="AF2" s="40">
        <v>2.0714285714285716</v>
      </c>
      <c r="AG2" s="40">
        <v>0.58974358974358976</v>
      </c>
      <c r="AH2" s="40">
        <v>0.61</v>
      </c>
      <c r="AI2" s="40">
        <v>0.54</v>
      </c>
      <c r="AJ2" s="40">
        <v>0.67500000000000004</v>
      </c>
      <c r="AK2" s="40"/>
      <c r="AL2" s="38">
        <f>IFERROR(AVERAGE(AF2:AK2),0)</f>
        <v>0.89723443223443233</v>
      </c>
      <c r="AM2" s="40">
        <v>0.86</v>
      </c>
      <c r="AN2" s="40">
        <v>0.91</v>
      </c>
      <c r="AO2" s="40"/>
      <c r="AP2" s="40"/>
      <c r="AQ2" s="40"/>
      <c r="AR2" s="40"/>
      <c r="AS2" s="40"/>
      <c r="AT2" s="38">
        <f>IFERROR(AVERAGE(AM2:AS2),0)</f>
        <v>0.88500000000000001</v>
      </c>
    </row>
    <row r="3" spans="1:46" ht="24" x14ac:dyDescent="0.35">
      <c r="A3" s="17">
        <v>2</v>
      </c>
      <c r="B3" s="17" t="s">
        <v>4</v>
      </c>
      <c r="C3" s="18" t="s">
        <v>5</v>
      </c>
      <c r="D3" s="19" t="s">
        <v>7</v>
      </c>
      <c r="E3" s="26" t="s">
        <v>116</v>
      </c>
      <c r="F3" s="27" t="s">
        <v>42</v>
      </c>
      <c r="G3" s="38">
        <v>1.1355932203389831</v>
      </c>
      <c r="H3" s="38">
        <v>1.3214285714285714</v>
      </c>
      <c r="I3" s="38">
        <v>1.1029411764705883</v>
      </c>
      <c r="J3" s="38">
        <v>0.88709677419354838</v>
      </c>
      <c r="K3" s="38">
        <v>0.84482758620689657</v>
      </c>
      <c r="L3" s="38">
        <v>1.0384615384615385</v>
      </c>
      <c r="M3" s="38">
        <v>0.9642857142857143</v>
      </c>
      <c r="N3" s="38">
        <v>1</v>
      </c>
      <c r="O3" s="38">
        <v>0.921875</v>
      </c>
      <c r="P3" s="38">
        <v>0.89830508474576276</v>
      </c>
      <c r="Q3" s="38">
        <v>0.96</v>
      </c>
      <c r="R3" s="38">
        <v>1.05</v>
      </c>
      <c r="S3" s="38">
        <v>1.0454545454545454</v>
      </c>
      <c r="T3" s="38">
        <v>0.94827586206896552</v>
      </c>
      <c r="U3" s="38">
        <v>0.54545454545454541</v>
      </c>
      <c r="V3" s="39">
        <f t="shared" ref="V3:V24" si="0">IFERROR(AVERAGE(G3:U3),0)</f>
        <v>0.97759997460731074</v>
      </c>
      <c r="W3" s="39">
        <f t="shared" ref="W3:W22" si="1">IFERROR(AVERAGE(I3:N3),0)</f>
        <v>0.97293546493638106</v>
      </c>
      <c r="X3" s="38">
        <f t="shared" ref="X3:X24" si="2">IFERROR(AVERAGE(O3:U3),0)</f>
        <v>0.90990929110340268</v>
      </c>
      <c r="Y3" s="38">
        <v>1.1599999999999999</v>
      </c>
      <c r="Z3" s="38">
        <v>0.98</v>
      </c>
      <c r="AA3" s="40">
        <v>1.1499999999999999</v>
      </c>
      <c r="AB3" s="40">
        <v>1.1100000000000001</v>
      </c>
      <c r="AC3" s="40">
        <v>1.2</v>
      </c>
      <c r="AD3" s="40">
        <v>1.21</v>
      </c>
      <c r="AE3" s="38">
        <f t="shared" ref="AE3:AE24" si="3">IFERROR(AVERAGE(Y3:AD3),0)</f>
        <v>1.135</v>
      </c>
      <c r="AF3" s="40">
        <v>1.1627906976744187</v>
      </c>
      <c r="AG3" s="40">
        <v>1.2045454545454546</v>
      </c>
      <c r="AH3" s="40">
        <v>1.1299999999999999</v>
      </c>
      <c r="AI3" s="40">
        <v>1.1100000000000001</v>
      </c>
      <c r="AJ3" s="40">
        <v>1.06</v>
      </c>
      <c r="AK3" s="40"/>
      <c r="AL3" s="38">
        <f t="shared" ref="AL3:AL26" si="4">IFERROR(AVERAGE(AF3:AK3),0)</f>
        <v>1.1334672304439746</v>
      </c>
      <c r="AM3" s="40">
        <v>1.17</v>
      </c>
      <c r="AN3" s="40">
        <v>1.38</v>
      </c>
      <c r="AO3" s="40"/>
      <c r="AP3" s="40"/>
      <c r="AQ3" s="40"/>
      <c r="AR3" s="40"/>
      <c r="AS3" s="40"/>
      <c r="AT3" s="38">
        <f t="shared" ref="AT3:AT26" si="5">IFERROR(AVERAGE(AM3:AS3),0)</f>
        <v>1.2749999999999999</v>
      </c>
    </row>
    <row r="4" spans="1:46" x14ac:dyDescent="0.35">
      <c r="A4" s="17">
        <v>3</v>
      </c>
      <c r="B4" s="17" t="s">
        <v>4</v>
      </c>
      <c r="C4" s="18" t="s">
        <v>5</v>
      </c>
      <c r="D4" s="19" t="s">
        <v>9</v>
      </c>
      <c r="E4" s="26" t="s">
        <v>116</v>
      </c>
      <c r="F4" s="26" t="s">
        <v>10</v>
      </c>
      <c r="G4" s="38">
        <v>0.7567567567567568</v>
      </c>
      <c r="H4" s="38">
        <v>0.91428571428571426</v>
      </c>
      <c r="I4" s="38">
        <v>0.55555555555555558</v>
      </c>
      <c r="J4" s="38">
        <v>0.65</v>
      </c>
      <c r="K4" s="38">
        <v>0.81081081081081086</v>
      </c>
      <c r="L4" s="38">
        <v>0.69</v>
      </c>
      <c r="M4" s="38">
        <v>0.56999999999999995</v>
      </c>
      <c r="N4" s="38">
        <v>0.61</v>
      </c>
      <c r="O4" s="38">
        <v>0.7</v>
      </c>
      <c r="P4" s="38">
        <v>0.83</v>
      </c>
      <c r="Q4" s="38">
        <v>0.75</v>
      </c>
      <c r="R4" s="38">
        <v>0.67</v>
      </c>
      <c r="S4" s="38">
        <v>0.90123456790123457</v>
      </c>
      <c r="T4" s="38">
        <v>0.797752808988764</v>
      </c>
      <c r="U4" s="38">
        <v>0.68148148148148147</v>
      </c>
      <c r="V4" s="39">
        <f t="shared" si="0"/>
        <v>0.72585851305202131</v>
      </c>
      <c r="W4" s="39">
        <f t="shared" si="1"/>
        <v>0.64772772772772769</v>
      </c>
      <c r="X4" s="38">
        <f t="shared" si="2"/>
        <v>0.7614955511959256</v>
      </c>
      <c r="Y4" s="38">
        <v>0.52</v>
      </c>
      <c r="Z4" s="38">
        <v>0.85</v>
      </c>
      <c r="AA4" s="40">
        <v>0.84</v>
      </c>
      <c r="AB4" s="40">
        <v>0.78</v>
      </c>
      <c r="AC4" s="40">
        <v>0.86</v>
      </c>
      <c r="AD4" s="40">
        <v>0.7</v>
      </c>
      <c r="AE4" s="38">
        <f t="shared" si="3"/>
        <v>0.7583333333333333</v>
      </c>
      <c r="AF4" s="40">
        <v>0.86046511627906974</v>
      </c>
      <c r="AG4" s="40">
        <v>0.82926829268292679</v>
      </c>
      <c r="AH4" s="40">
        <v>0.84</v>
      </c>
      <c r="AI4" s="40">
        <v>0.89</v>
      </c>
      <c r="AJ4" s="40">
        <v>0.84955752212389379</v>
      </c>
      <c r="AK4" s="40">
        <v>0.94174757281553401</v>
      </c>
      <c r="AL4" s="38">
        <f t="shared" si="4"/>
        <v>0.86850641731690414</v>
      </c>
      <c r="AM4" s="40">
        <v>0.96</v>
      </c>
      <c r="AN4" s="40">
        <v>0.98</v>
      </c>
      <c r="AO4" s="40"/>
      <c r="AP4" s="40"/>
      <c r="AQ4" s="40"/>
      <c r="AR4" s="40"/>
      <c r="AS4" s="40"/>
      <c r="AT4" s="38">
        <f t="shared" si="5"/>
        <v>0.97</v>
      </c>
    </row>
    <row r="5" spans="1:46" x14ac:dyDescent="0.35">
      <c r="A5" s="17">
        <v>4</v>
      </c>
      <c r="B5" s="17" t="s">
        <v>4</v>
      </c>
      <c r="C5" s="18" t="s">
        <v>5</v>
      </c>
      <c r="D5" s="19" t="s">
        <v>9</v>
      </c>
      <c r="E5" s="26" t="s">
        <v>116</v>
      </c>
      <c r="F5" s="26" t="s">
        <v>12</v>
      </c>
      <c r="G5" s="38">
        <v>1.8888888888888888</v>
      </c>
      <c r="H5" s="38">
        <v>1.1428571428571428</v>
      </c>
      <c r="I5" s="38">
        <v>2.1578947368421053</v>
      </c>
      <c r="J5" s="38">
        <v>3.5714285714285716</v>
      </c>
      <c r="K5" s="38">
        <v>5.666666666666667</v>
      </c>
      <c r="L5" s="38">
        <v>4.4279999999999999</v>
      </c>
      <c r="M5" s="38">
        <v>5.666666666666667</v>
      </c>
      <c r="N5" s="38">
        <v>4.4000000000000004</v>
      </c>
      <c r="O5" s="38">
        <v>5.67</v>
      </c>
      <c r="P5" s="38">
        <v>5.33</v>
      </c>
      <c r="Q5" s="38">
        <v>1.4</v>
      </c>
      <c r="R5" s="38">
        <v>2</v>
      </c>
      <c r="S5" s="38">
        <v>1.5</v>
      </c>
      <c r="T5" s="38">
        <v>1.4166666666666667</v>
      </c>
      <c r="U5" s="38">
        <v>1.3333333333333333</v>
      </c>
      <c r="V5" s="39">
        <f t="shared" si="0"/>
        <v>3.1714935115566694</v>
      </c>
      <c r="W5" s="39">
        <f t="shared" si="1"/>
        <v>4.3151094402673351</v>
      </c>
      <c r="X5" s="38">
        <f t="shared" si="2"/>
        <v>2.6642857142857141</v>
      </c>
      <c r="Y5" s="38">
        <v>3.25</v>
      </c>
      <c r="Z5" s="38">
        <v>0.71</v>
      </c>
      <c r="AA5" s="40">
        <v>1.46</v>
      </c>
      <c r="AB5" s="40">
        <v>1.43</v>
      </c>
      <c r="AC5" s="40">
        <v>12</v>
      </c>
      <c r="AD5" s="40">
        <v>1.63</v>
      </c>
      <c r="AE5" s="38">
        <f t="shared" si="3"/>
        <v>3.4133333333333336</v>
      </c>
      <c r="AF5" s="40">
        <v>1.2142857142857142</v>
      </c>
      <c r="AG5" s="40">
        <v>1.2307692307692308</v>
      </c>
      <c r="AH5" s="40">
        <v>1.06</v>
      </c>
      <c r="AI5" s="40">
        <v>3.33</v>
      </c>
      <c r="AJ5" s="40">
        <v>1.0666666666666667</v>
      </c>
      <c r="AK5" s="40"/>
      <c r="AL5" s="38">
        <f t="shared" si="4"/>
        <v>1.5803443223443225</v>
      </c>
      <c r="AM5" s="40">
        <v>0.76</v>
      </c>
      <c r="AN5" s="40">
        <v>0.95</v>
      </c>
      <c r="AO5" s="40">
        <v>0.81</v>
      </c>
      <c r="AP5" s="40"/>
      <c r="AQ5" s="40"/>
      <c r="AR5" s="40"/>
      <c r="AS5" s="40"/>
      <c r="AT5" s="38">
        <f t="shared" si="5"/>
        <v>0.84</v>
      </c>
    </row>
    <row r="6" spans="1:46" x14ac:dyDescent="0.35">
      <c r="A6" s="17">
        <v>5</v>
      </c>
      <c r="B6" s="23" t="s">
        <v>4</v>
      </c>
      <c r="C6" s="18" t="s">
        <v>5</v>
      </c>
      <c r="D6" s="19" t="s">
        <v>9</v>
      </c>
      <c r="E6" s="26" t="s">
        <v>116</v>
      </c>
      <c r="F6" s="26" t="s">
        <v>14</v>
      </c>
      <c r="G6" s="38">
        <v>0.78333333333333333</v>
      </c>
      <c r="H6" s="38">
        <v>0.87755102040816324</v>
      </c>
      <c r="I6" s="38">
        <v>0.84507042253521125</v>
      </c>
      <c r="J6" s="38">
        <v>1.0273972602739727</v>
      </c>
      <c r="K6" s="38">
        <v>0.98765432098765427</v>
      </c>
      <c r="L6" s="38">
        <v>0.72307692307692306</v>
      </c>
      <c r="M6" s="38">
        <v>0.97619047619047616</v>
      </c>
      <c r="N6" s="38">
        <v>0.94366197183098588</v>
      </c>
      <c r="O6" s="38">
        <v>1</v>
      </c>
      <c r="P6" s="38">
        <v>1.04</v>
      </c>
      <c r="Q6" s="38">
        <v>1</v>
      </c>
      <c r="R6" s="38">
        <v>0.83</v>
      </c>
      <c r="S6" s="38">
        <v>1.1111111111111112</v>
      </c>
      <c r="T6" s="38">
        <v>1</v>
      </c>
      <c r="U6" s="38">
        <v>1</v>
      </c>
      <c r="V6" s="39">
        <f t="shared" si="0"/>
        <v>0.94300312264985531</v>
      </c>
      <c r="W6" s="39">
        <f t="shared" si="1"/>
        <v>0.91717522914920391</v>
      </c>
      <c r="X6" s="38">
        <f t="shared" si="2"/>
        <v>0.99730158730158736</v>
      </c>
      <c r="Y6" s="38">
        <v>1</v>
      </c>
      <c r="Z6" s="38">
        <v>1</v>
      </c>
      <c r="AA6" s="40">
        <v>1.0900000000000001</v>
      </c>
      <c r="AB6" s="40">
        <v>1</v>
      </c>
      <c r="AC6" s="40">
        <v>1</v>
      </c>
      <c r="AD6" s="40">
        <v>1</v>
      </c>
      <c r="AE6" s="38">
        <f t="shared" si="3"/>
        <v>1.0149999999999999</v>
      </c>
      <c r="AF6" s="40">
        <v>0.95522388059701491</v>
      </c>
      <c r="AG6" s="40">
        <v>1</v>
      </c>
      <c r="AH6" s="40">
        <v>1</v>
      </c>
      <c r="AI6" s="40">
        <v>1.03</v>
      </c>
      <c r="AJ6" s="40">
        <v>0.92307692307692313</v>
      </c>
      <c r="AK6" s="40">
        <v>0.92307692307692313</v>
      </c>
      <c r="AL6" s="38">
        <f t="shared" si="4"/>
        <v>0.97189628779181036</v>
      </c>
      <c r="AM6" s="40">
        <v>1</v>
      </c>
      <c r="AN6" s="40">
        <v>1</v>
      </c>
      <c r="AO6" s="40">
        <v>1</v>
      </c>
      <c r="AP6" s="40"/>
      <c r="AQ6" s="40"/>
      <c r="AR6" s="40"/>
      <c r="AS6" s="40"/>
      <c r="AT6" s="38">
        <f t="shared" si="5"/>
        <v>1</v>
      </c>
    </row>
    <row r="7" spans="1:46" x14ac:dyDescent="0.35">
      <c r="A7" s="17">
        <v>6</v>
      </c>
      <c r="B7" s="23" t="s">
        <v>4</v>
      </c>
      <c r="C7" s="18" t="s">
        <v>5</v>
      </c>
      <c r="D7" s="19" t="s">
        <v>9</v>
      </c>
      <c r="E7" s="26" t="s">
        <v>116</v>
      </c>
      <c r="F7" s="26" t="s">
        <v>16</v>
      </c>
      <c r="G7" s="38">
        <v>0.8571428571428571</v>
      </c>
      <c r="H7" s="38">
        <v>0.86363636363636365</v>
      </c>
      <c r="I7" s="38">
        <v>1</v>
      </c>
      <c r="J7" s="38">
        <v>1.0625</v>
      </c>
      <c r="K7" s="38">
        <v>1.0888888888888888</v>
      </c>
      <c r="L7" s="38">
        <v>0.81355932203389836</v>
      </c>
      <c r="M7" s="38">
        <v>0.92105263157894735</v>
      </c>
      <c r="N7" s="38">
        <v>1</v>
      </c>
      <c r="O7" s="38">
        <v>1</v>
      </c>
      <c r="P7" s="38">
        <v>0.89</v>
      </c>
      <c r="Q7" s="38">
        <v>0.98305084745762716</v>
      </c>
      <c r="R7" s="38">
        <v>0.93</v>
      </c>
      <c r="S7" s="38">
        <v>0.98113207547169812</v>
      </c>
      <c r="T7" s="38">
        <v>0.8833333333333333</v>
      </c>
      <c r="U7" s="38">
        <v>0.98484848484848486</v>
      </c>
      <c r="V7" s="39">
        <f t="shared" si="0"/>
        <v>0.95060965362613981</v>
      </c>
      <c r="W7" s="39">
        <f t="shared" si="1"/>
        <v>0.98100014041695571</v>
      </c>
      <c r="X7" s="38">
        <f t="shared" si="2"/>
        <v>0.95033782015873469</v>
      </c>
      <c r="Y7" s="38">
        <v>1</v>
      </c>
      <c r="Z7" s="38">
        <v>0.98</v>
      </c>
      <c r="AA7" s="40">
        <v>1.03</v>
      </c>
      <c r="AB7" s="40">
        <v>1.21</v>
      </c>
      <c r="AC7" s="40">
        <v>1</v>
      </c>
      <c r="AD7" s="40">
        <v>0.96</v>
      </c>
      <c r="AE7" s="38">
        <f t="shared" si="3"/>
        <v>1.03</v>
      </c>
      <c r="AF7" s="40">
        <v>1</v>
      </c>
      <c r="AG7" s="40">
        <v>0.97014925373134331</v>
      </c>
      <c r="AH7" s="40">
        <v>1</v>
      </c>
      <c r="AI7" s="40">
        <v>0.99</v>
      </c>
      <c r="AJ7" s="40">
        <v>1.0597014925373134</v>
      </c>
      <c r="AK7" s="40">
        <v>1</v>
      </c>
      <c r="AL7" s="38">
        <f t="shared" si="4"/>
        <v>1.0033084577114428</v>
      </c>
      <c r="AM7" s="40">
        <v>1.07</v>
      </c>
      <c r="AN7" s="40">
        <v>1.01</v>
      </c>
      <c r="AO7" s="40">
        <v>0.97</v>
      </c>
      <c r="AP7" s="40"/>
      <c r="AQ7" s="40"/>
      <c r="AR7" s="40"/>
      <c r="AS7" s="40"/>
      <c r="AT7" s="38">
        <f t="shared" si="5"/>
        <v>1.0166666666666666</v>
      </c>
    </row>
    <row r="8" spans="1:46" x14ac:dyDescent="0.35">
      <c r="A8" s="17">
        <v>7</v>
      </c>
      <c r="B8" s="17" t="s">
        <v>4</v>
      </c>
      <c r="C8" s="18" t="s">
        <v>5</v>
      </c>
      <c r="D8" s="19" t="s">
        <v>9</v>
      </c>
      <c r="E8" s="26" t="s">
        <v>116</v>
      </c>
      <c r="F8" s="26" t="s">
        <v>18</v>
      </c>
      <c r="G8" s="38">
        <v>0.80952380952380953</v>
      </c>
      <c r="H8" s="38">
        <v>1</v>
      </c>
      <c r="I8" s="38">
        <v>0.88235294117647056</v>
      </c>
      <c r="J8" s="38">
        <v>0.89473684210526316</v>
      </c>
      <c r="K8" s="38">
        <v>1</v>
      </c>
      <c r="L8" s="38">
        <v>0.72</v>
      </c>
      <c r="M8" s="38">
        <v>0.68</v>
      </c>
      <c r="N8" s="38">
        <v>0.89655172413793105</v>
      </c>
      <c r="O8" s="38">
        <v>0.78260869565217395</v>
      </c>
      <c r="P8" s="38">
        <v>0.68181818181818177</v>
      </c>
      <c r="Q8" s="38">
        <v>0.58823529411764708</v>
      </c>
      <c r="R8" s="38">
        <v>0.25</v>
      </c>
      <c r="S8" s="38">
        <v>0.65</v>
      </c>
      <c r="T8" s="38">
        <v>0.42105263157894735</v>
      </c>
      <c r="U8" s="38">
        <v>0.75</v>
      </c>
      <c r="V8" s="39">
        <f t="shared" si="0"/>
        <v>0.73379200800736155</v>
      </c>
      <c r="W8" s="39">
        <f t="shared" si="1"/>
        <v>0.84560691790327736</v>
      </c>
      <c r="X8" s="38">
        <f t="shared" si="2"/>
        <v>0.58910211473813567</v>
      </c>
      <c r="Y8" s="38">
        <v>0.67</v>
      </c>
      <c r="Z8" s="38">
        <v>0.56000000000000005</v>
      </c>
      <c r="AA8" s="40">
        <v>1</v>
      </c>
      <c r="AB8" s="40">
        <v>0.44</v>
      </c>
      <c r="AC8" s="40">
        <v>1</v>
      </c>
      <c r="AD8" s="40">
        <v>0.87</v>
      </c>
      <c r="AE8" s="38">
        <f t="shared" si="3"/>
        <v>0.75666666666666671</v>
      </c>
      <c r="AF8" s="40">
        <v>1.0952380952380953</v>
      </c>
      <c r="AG8" s="40">
        <v>0.86206896551724133</v>
      </c>
      <c r="AH8" s="40">
        <v>0.69</v>
      </c>
      <c r="AI8" s="40">
        <v>1</v>
      </c>
      <c r="AJ8" s="40">
        <v>1.2666666666666666</v>
      </c>
      <c r="AK8" s="40">
        <v>1.4</v>
      </c>
      <c r="AL8" s="38">
        <f t="shared" si="4"/>
        <v>1.0523289545703338</v>
      </c>
      <c r="AM8" s="40">
        <v>1</v>
      </c>
      <c r="AN8" s="40">
        <v>1.2</v>
      </c>
      <c r="AO8" s="40">
        <v>1</v>
      </c>
      <c r="AP8" s="40"/>
      <c r="AQ8" s="40"/>
      <c r="AR8" s="40"/>
      <c r="AS8" s="40"/>
      <c r="AT8" s="38">
        <f t="shared" si="5"/>
        <v>1.0666666666666667</v>
      </c>
    </row>
    <row r="9" spans="1:46" ht="24" x14ac:dyDescent="0.35">
      <c r="A9" s="17">
        <v>8</v>
      </c>
      <c r="B9" s="17" t="s">
        <v>4</v>
      </c>
      <c r="C9" s="18" t="s">
        <v>5</v>
      </c>
      <c r="D9" s="19" t="s">
        <v>7</v>
      </c>
      <c r="E9" s="26" t="s">
        <v>116</v>
      </c>
      <c r="F9" s="28" t="s">
        <v>19</v>
      </c>
      <c r="G9" s="38">
        <v>0.93103448275862066</v>
      </c>
      <c r="H9" s="38">
        <v>0.4</v>
      </c>
      <c r="I9" s="38">
        <v>0.28000000000000003</v>
      </c>
      <c r="J9" s="38">
        <v>0.94029850746268662</v>
      </c>
      <c r="K9" s="38">
        <v>0.75</v>
      </c>
      <c r="L9" s="38">
        <v>0.80882352941176472</v>
      </c>
      <c r="M9" s="38">
        <v>0.60344827586206895</v>
      </c>
      <c r="N9" s="38">
        <v>0.79166666666666663</v>
      </c>
      <c r="O9" s="38">
        <v>1.2884615384615385</v>
      </c>
      <c r="P9" s="38">
        <v>1.1186440677966101</v>
      </c>
      <c r="Q9" s="38">
        <v>1.0327868852459017</v>
      </c>
      <c r="R9" s="38">
        <v>1.28</v>
      </c>
      <c r="S9" s="38">
        <v>1.0169491525423728</v>
      </c>
      <c r="T9" s="38">
        <v>1.2580645161290323</v>
      </c>
      <c r="U9" s="38">
        <v>1.1081081081081081</v>
      </c>
      <c r="V9" s="39">
        <f t="shared" si="0"/>
        <v>0.90721904869635805</v>
      </c>
      <c r="W9" s="39">
        <f t="shared" si="1"/>
        <v>0.69570616323386447</v>
      </c>
      <c r="X9" s="38">
        <f t="shared" si="2"/>
        <v>1.1575734668976521</v>
      </c>
      <c r="Y9" s="38">
        <v>1</v>
      </c>
      <c r="Z9" s="38">
        <v>1.1599999999999999</v>
      </c>
      <c r="AA9" s="40">
        <v>1.1100000000000001</v>
      </c>
      <c r="AB9" s="40">
        <v>1.33</v>
      </c>
      <c r="AC9" s="40">
        <v>0.89</v>
      </c>
      <c r="AD9" s="40">
        <v>1.39</v>
      </c>
      <c r="AE9" s="38">
        <f t="shared" si="3"/>
        <v>1.1466666666666667</v>
      </c>
      <c r="AF9" s="40">
        <v>1.1599999999999999</v>
      </c>
      <c r="AG9" s="40">
        <v>0.97619047619047616</v>
      </c>
      <c r="AH9" s="40">
        <v>1.24</v>
      </c>
      <c r="AI9" s="40">
        <v>1.03</v>
      </c>
      <c r="AJ9" s="40">
        <v>1.1142857142857143</v>
      </c>
      <c r="AK9" s="40">
        <v>1.2250000000000001</v>
      </c>
      <c r="AL9" s="38">
        <f t="shared" si="4"/>
        <v>1.1242460317460317</v>
      </c>
      <c r="AM9" s="40">
        <v>1.37</v>
      </c>
      <c r="AN9" s="40">
        <v>1.02</v>
      </c>
      <c r="AO9" s="40">
        <v>0.93</v>
      </c>
      <c r="AP9" s="40"/>
      <c r="AQ9" s="40"/>
      <c r="AR9" s="40"/>
      <c r="AS9" s="40"/>
      <c r="AT9" s="38">
        <f t="shared" si="5"/>
        <v>1.1066666666666667</v>
      </c>
    </row>
    <row r="10" spans="1:46" ht="24" x14ac:dyDescent="0.35">
      <c r="A10" s="17">
        <v>9</v>
      </c>
      <c r="B10" s="17" t="s">
        <v>4</v>
      </c>
      <c r="C10" s="18" t="s">
        <v>5</v>
      </c>
      <c r="D10" s="19" t="s">
        <v>7</v>
      </c>
      <c r="E10" s="26" t="s">
        <v>43</v>
      </c>
      <c r="F10" s="28" t="s">
        <v>63</v>
      </c>
      <c r="G10" s="40">
        <v>1.7741935483870968</v>
      </c>
      <c r="H10" s="40">
        <v>0.8928571428571429</v>
      </c>
      <c r="I10" s="40">
        <v>1.1590909090909092</v>
      </c>
      <c r="J10" s="40">
        <v>1.2647058823529411</v>
      </c>
      <c r="K10" s="38">
        <v>1.0465116279069768</v>
      </c>
      <c r="L10" s="38">
        <v>1.375</v>
      </c>
      <c r="M10" s="38">
        <v>0.875</v>
      </c>
      <c r="N10" s="38">
        <v>0.88372093023255816</v>
      </c>
      <c r="O10" s="38">
        <v>0.95744680851063835</v>
      </c>
      <c r="P10" s="38">
        <v>0.94545454545454544</v>
      </c>
      <c r="Q10" s="38">
        <v>1.0535714285714286</v>
      </c>
      <c r="R10" s="38">
        <v>1</v>
      </c>
      <c r="S10" s="38">
        <v>1.02</v>
      </c>
      <c r="T10" s="38">
        <v>1.0416666666666667</v>
      </c>
      <c r="U10" s="38">
        <v>1</v>
      </c>
      <c r="V10" s="39">
        <f t="shared" si="0"/>
        <v>1.0859479660020601</v>
      </c>
      <c r="W10" s="39">
        <f t="shared" si="1"/>
        <v>1.1006715582638975</v>
      </c>
      <c r="X10" s="38">
        <f t="shared" si="2"/>
        <v>1.0025913498861827</v>
      </c>
      <c r="Y10" s="157"/>
      <c r="Z10" s="157"/>
      <c r="AA10" s="158"/>
      <c r="AB10" s="158"/>
      <c r="AC10" s="158"/>
      <c r="AD10" s="158"/>
      <c r="AE10" s="157">
        <f t="shared" si="3"/>
        <v>0</v>
      </c>
      <c r="AF10" s="158"/>
      <c r="AG10" s="158"/>
      <c r="AH10" s="158"/>
      <c r="AI10" s="158"/>
      <c r="AJ10" s="158"/>
      <c r="AK10" s="158"/>
      <c r="AL10" s="157">
        <f t="shared" si="4"/>
        <v>0</v>
      </c>
      <c r="AM10" s="158"/>
      <c r="AN10" s="158"/>
      <c r="AO10" s="158"/>
      <c r="AP10" s="158"/>
      <c r="AQ10" s="158"/>
      <c r="AR10" s="158"/>
      <c r="AS10" s="158"/>
      <c r="AT10" s="157"/>
    </row>
    <row r="11" spans="1:46" ht="24" x14ac:dyDescent="0.35">
      <c r="A11" s="17">
        <v>10</v>
      </c>
      <c r="B11" s="17" t="s">
        <v>4</v>
      </c>
      <c r="C11" s="18" t="s">
        <v>5</v>
      </c>
      <c r="D11" s="19" t="s">
        <v>7</v>
      </c>
      <c r="E11" s="26" t="s">
        <v>116</v>
      </c>
      <c r="F11" s="28" t="s">
        <v>20</v>
      </c>
      <c r="G11" s="40">
        <v>0.6428571428571429</v>
      </c>
      <c r="H11" s="40">
        <v>0.9285714285714286</v>
      </c>
      <c r="I11" s="40">
        <v>1.4146341463414633</v>
      </c>
      <c r="J11" s="40">
        <v>1</v>
      </c>
      <c r="K11" s="38">
        <v>1</v>
      </c>
      <c r="L11" s="38">
        <v>1.0444444444444445</v>
      </c>
      <c r="M11" s="38">
        <v>1</v>
      </c>
      <c r="N11" s="38">
        <v>0.5641025641025641</v>
      </c>
      <c r="O11" s="40">
        <v>1.0769230769230769</v>
      </c>
      <c r="P11" s="40">
        <v>1</v>
      </c>
      <c r="Q11" s="38">
        <v>1.5</v>
      </c>
      <c r="R11" s="38">
        <v>1.34</v>
      </c>
      <c r="S11" s="38">
        <v>1.1379310344827587</v>
      </c>
      <c r="T11" s="38">
        <v>1.173913043478261</v>
      </c>
      <c r="U11" s="38">
        <v>1.0357142857142858</v>
      </c>
      <c r="V11" s="39">
        <f t="shared" si="0"/>
        <v>1.0572727444610284</v>
      </c>
      <c r="W11" s="39">
        <f t="shared" si="1"/>
        <v>1.0038635258147453</v>
      </c>
      <c r="X11" s="38">
        <f t="shared" si="2"/>
        <v>1.1806402057997689</v>
      </c>
      <c r="Y11" s="40">
        <v>1</v>
      </c>
      <c r="Z11" s="40">
        <v>1</v>
      </c>
      <c r="AA11" s="40">
        <v>0.99</v>
      </c>
      <c r="AB11" s="40">
        <v>1.3</v>
      </c>
      <c r="AC11" s="40">
        <v>1.27</v>
      </c>
      <c r="AD11" s="40">
        <v>1.74</v>
      </c>
      <c r="AE11" s="38">
        <f t="shared" si="3"/>
        <v>1.2166666666666668</v>
      </c>
      <c r="AF11" s="40">
        <v>1.4390243902439024</v>
      </c>
      <c r="AG11" s="40">
        <v>1.375</v>
      </c>
      <c r="AH11" s="40">
        <v>1.49</v>
      </c>
      <c r="AI11" s="40">
        <v>1.5</v>
      </c>
      <c r="AJ11" s="40">
        <v>1.7586206896551724</v>
      </c>
      <c r="AK11" s="40">
        <v>1.0857142857142856</v>
      </c>
      <c r="AL11" s="38">
        <f t="shared" si="4"/>
        <v>1.4413932276022268</v>
      </c>
      <c r="AM11" s="40">
        <v>1.2</v>
      </c>
      <c r="AN11" s="40">
        <v>1.43</v>
      </c>
      <c r="AO11" s="40">
        <v>1.29</v>
      </c>
      <c r="AP11" s="40"/>
      <c r="AQ11" s="40"/>
      <c r="AR11" s="40"/>
      <c r="AS11" s="40"/>
      <c r="AT11" s="38">
        <f t="shared" si="5"/>
        <v>1.3066666666666666</v>
      </c>
    </row>
    <row r="12" spans="1:46" ht="24" x14ac:dyDescent="0.35">
      <c r="A12" s="17">
        <v>11</v>
      </c>
      <c r="B12" s="17" t="s">
        <v>4</v>
      </c>
      <c r="C12" s="18" t="s">
        <v>5</v>
      </c>
      <c r="D12" s="19" t="s">
        <v>7</v>
      </c>
      <c r="E12" s="26" t="s">
        <v>116</v>
      </c>
      <c r="F12" s="28" t="s">
        <v>21</v>
      </c>
      <c r="G12" s="40">
        <v>0.17460317460317459</v>
      </c>
      <c r="H12" s="40">
        <v>0.55405405405405406</v>
      </c>
      <c r="I12" s="40">
        <v>0.76923076923076927</v>
      </c>
      <c r="J12" s="38">
        <v>0.38095238095238093</v>
      </c>
      <c r="K12" s="38">
        <v>1.05</v>
      </c>
      <c r="L12" s="38">
        <v>0.51162790697674421</v>
      </c>
      <c r="M12" s="38">
        <v>0.70731707317073167</v>
      </c>
      <c r="N12" s="38">
        <v>0.75</v>
      </c>
      <c r="O12" s="40">
        <v>0.95833333333333337</v>
      </c>
      <c r="P12" s="40">
        <v>1.28125</v>
      </c>
      <c r="Q12" s="38">
        <v>1</v>
      </c>
      <c r="R12" s="40">
        <v>1.02</v>
      </c>
      <c r="S12" s="38">
        <v>0.86046511627906974</v>
      </c>
      <c r="T12" s="38">
        <v>0.91</v>
      </c>
      <c r="U12" s="38">
        <v>0.57777777777777772</v>
      </c>
      <c r="V12" s="39">
        <f t="shared" si="0"/>
        <v>0.7670407724252023</v>
      </c>
      <c r="W12" s="39">
        <f t="shared" si="1"/>
        <v>0.69485468838843767</v>
      </c>
      <c r="X12" s="38">
        <f t="shared" si="2"/>
        <v>0.94397517534145436</v>
      </c>
      <c r="Y12" s="40">
        <v>0.9</v>
      </c>
      <c r="Z12" s="40">
        <v>0.82</v>
      </c>
      <c r="AA12" s="40">
        <v>0.92</v>
      </c>
      <c r="AB12" s="40">
        <v>1.41</v>
      </c>
      <c r="AC12" s="40">
        <v>1.17</v>
      </c>
      <c r="AD12" s="40">
        <v>1.1499999999999999</v>
      </c>
      <c r="AE12" s="38">
        <f t="shared" si="3"/>
        <v>1.0616666666666665</v>
      </c>
      <c r="AF12" s="40">
        <v>2</v>
      </c>
      <c r="AG12" s="40">
        <v>1</v>
      </c>
      <c r="AH12" s="40">
        <v>1.1599999999999999</v>
      </c>
      <c r="AI12" s="40">
        <v>1.37</v>
      </c>
      <c r="AJ12" s="40">
        <v>1.0425531914893618</v>
      </c>
      <c r="AK12" s="40">
        <v>1.2857142857142858</v>
      </c>
      <c r="AL12" s="38">
        <f t="shared" si="4"/>
        <v>1.309711246200608</v>
      </c>
      <c r="AM12" s="40">
        <v>1.6</v>
      </c>
      <c r="AN12" s="40">
        <v>1.32</v>
      </c>
      <c r="AO12" s="40"/>
      <c r="AP12" s="40"/>
      <c r="AQ12" s="40"/>
      <c r="AR12" s="40"/>
      <c r="AS12" s="40"/>
      <c r="AT12" s="38">
        <f t="shared" si="5"/>
        <v>1.46</v>
      </c>
    </row>
    <row r="13" spans="1:46" ht="24" x14ac:dyDescent="0.35">
      <c r="A13" s="17">
        <v>12</v>
      </c>
      <c r="B13" s="17" t="s">
        <v>4</v>
      </c>
      <c r="C13" s="18" t="s">
        <v>5</v>
      </c>
      <c r="D13" s="19" t="s">
        <v>7</v>
      </c>
      <c r="E13" s="26" t="s">
        <v>116</v>
      </c>
      <c r="F13" s="28" t="s">
        <v>22</v>
      </c>
      <c r="G13" s="40">
        <v>0.32</v>
      </c>
      <c r="H13" s="40">
        <v>0.9178082191780822</v>
      </c>
      <c r="I13" s="40">
        <v>1.4814814814814814</v>
      </c>
      <c r="J13" s="38">
        <v>0.31111111111111112</v>
      </c>
      <c r="K13" s="38">
        <v>0.51020408163265307</v>
      </c>
      <c r="L13" s="38">
        <v>0.67567567567567566</v>
      </c>
      <c r="M13" s="38">
        <v>0.76190476190476186</v>
      </c>
      <c r="N13" s="38">
        <v>0.63636363636363635</v>
      </c>
      <c r="O13" s="40">
        <v>0.78</v>
      </c>
      <c r="P13" s="40">
        <v>0.56756756756756754</v>
      </c>
      <c r="Q13" s="38">
        <v>0.96666666666666667</v>
      </c>
      <c r="R13" s="40">
        <v>0.95</v>
      </c>
      <c r="S13" s="38">
        <v>0.68085106382978722</v>
      </c>
      <c r="T13" s="38">
        <v>1.1299999999999999</v>
      </c>
      <c r="U13" s="38">
        <v>0.8529411764705882</v>
      </c>
      <c r="V13" s="39">
        <f t="shared" si="0"/>
        <v>0.76950502945880084</v>
      </c>
      <c r="W13" s="39">
        <f t="shared" si="1"/>
        <v>0.72945679136155339</v>
      </c>
      <c r="X13" s="38">
        <f t="shared" si="2"/>
        <v>0.84686092493351561</v>
      </c>
      <c r="Y13" s="40">
        <v>1.1200000000000001</v>
      </c>
      <c r="Z13" s="40">
        <v>1.06</v>
      </c>
      <c r="AA13" s="40">
        <v>1.06</v>
      </c>
      <c r="AB13" s="40">
        <v>1.31</v>
      </c>
      <c r="AC13" s="40">
        <v>0.87</v>
      </c>
      <c r="AD13" s="40">
        <v>1.34</v>
      </c>
      <c r="AE13" s="38">
        <f t="shared" si="3"/>
        <v>1.1266666666666667</v>
      </c>
      <c r="AF13" s="40">
        <v>1.8636363636363635</v>
      </c>
      <c r="AG13" s="40">
        <v>1.2586206896551724</v>
      </c>
      <c r="AH13" s="40">
        <v>1</v>
      </c>
      <c r="AI13" s="40">
        <v>1.38</v>
      </c>
      <c r="AJ13" s="40">
        <v>0.9821428571428571</v>
      </c>
      <c r="AK13" s="40">
        <v>0.77966101694915257</v>
      </c>
      <c r="AL13" s="38">
        <f t="shared" si="4"/>
        <v>1.2106768212305907</v>
      </c>
      <c r="AM13" s="40"/>
      <c r="AN13" s="40"/>
      <c r="AO13" s="40"/>
      <c r="AP13" s="40"/>
      <c r="AQ13" s="40"/>
      <c r="AR13" s="40"/>
      <c r="AS13" s="40"/>
      <c r="AT13" s="38">
        <f t="shared" si="5"/>
        <v>0</v>
      </c>
    </row>
    <row r="14" spans="1:46" ht="24" x14ac:dyDescent="0.35">
      <c r="A14" s="17">
        <v>13</v>
      </c>
      <c r="B14" s="17" t="s">
        <v>4</v>
      </c>
      <c r="C14" s="18" t="s">
        <v>23</v>
      </c>
      <c r="D14" s="18" t="s">
        <v>11</v>
      </c>
      <c r="E14" s="26" t="s">
        <v>116</v>
      </c>
      <c r="F14" s="29" t="s">
        <v>24</v>
      </c>
      <c r="G14" s="40">
        <v>1.1549295774647887</v>
      </c>
      <c r="H14" s="40">
        <v>0.79452054794520544</v>
      </c>
      <c r="I14" s="40">
        <v>1</v>
      </c>
      <c r="J14" s="40">
        <v>1.03</v>
      </c>
      <c r="K14" s="40">
        <v>1.0900000000000001</v>
      </c>
      <c r="L14" s="40">
        <v>1.01</v>
      </c>
      <c r="M14" s="40">
        <v>1.59</v>
      </c>
      <c r="N14" s="40">
        <v>1.77</v>
      </c>
      <c r="O14" s="40">
        <v>1.39</v>
      </c>
      <c r="P14" s="40">
        <v>0.83</v>
      </c>
      <c r="Q14" s="40">
        <v>0.76</v>
      </c>
      <c r="R14" s="40">
        <v>0.66</v>
      </c>
      <c r="S14" s="38">
        <v>0.86075949367088611</v>
      </c>
      <c r="T14" s="38">
        <v>0.71084337349397586</v>
      </c>
      <c r="U14" s="38">
        <v>0.78260869565217395</v>
      </c>
      <c r="V14" s="39">
        <f t="shared" si="0"/>
        <v>1.0289107792151353</v>
      </c>
      <c r="W14" s="39">
        <f t="shared" si="1"/>
        <v>1.2483333333333333</v>
      </c>
      <c r="X14" s="38">
        <f t="shared" si="2"/>
        <v>0.85631593754529078</v>
      </c>
      <c r="Y14" s="40">
        <v>1.07</v>
      </c>
      <c r="Z14" s="40">
        <v>0.86</v>
      </c>
      <c r="AA14" s="40">
        <v>0.96</v>
      </c>
      <c r="AB14" s="40">
        <v>0.88</v>
      </c>
      <c r="AC14" s="40">
        <v>0.73</v>
      </c>
      <c r="AD14" s="40">
        <v>0.69</v>
      </c>
      <c r="AE14" s="38">
        <f t="shared" si="3"/>
        <v>0.86499999999999988</v>
      </c>
      <c r="AF14" s="40">
        <v>0.78</v>
      </c>
      <c r="AG14" s="40">
        <v>0.72727272727272729</v>
      </c>
      <c r="AH14" s="40">
        <v>0.71</v>
      </c>
      <c r="AI14" s="40">
        <v>1.22</v>
      </c>
      <c r="AJ14" s="40">
        <v>0.625</v>
      </c>
      <c r="AK14" s="40"/>
      <c r="AL14" s="38">
        <f t="shared" si="4"/>
        <v>0.81245454545454554</v>
      </c>
      <c r="AM14" s="40">
        <v>0.7</v>
      </c>
      <c r="AN14" s="40">
        <v>0.9</v>
      </c>
      <c r="AO14" s="40">
        <v>1.1200000000000001</v>
      </c>
      <c r="AQ14" s="40"/>
      <c r="AR14" s="40"/>
      <c r="AS14" s="40"/>
      <c r="AT14" s="38">
        <f t="shared" si="5"/>
        <v>0.90666666666666673</v>
      </c>
    </row>
    <row r="15" spans="1:46" ht="24" x14ac:dyDescent="0.35">
      <c r="A15" s="17">
        <v>14</v>
      </c>
      <c r="B15" s="17" t="s">
        <v>4</v>
      </c>
      <c r="C15" s="18" t="s">
        <v>23</v>
      </c>
      <c r="D15" s="18" t="s">
        <v>11</v>
      </c>
      <c r="E15" s="26" t="s">
        <v>116</v>
      </c>
      <c r="F15" s="29" t="s">
        <v>25</v>
      </c>
      <c r="G15" s="37"/>
      <c r="H15" s="37"/>
      <c r="I15" s="37"/>
      <c r="J15" s="40">
        <v>1</v>
      </c>
      <c r="K15" s="40">
        <v>0.85</v>
      </c>
      <c r="L15" s="40">
        <v>1.18</v>
      </c>
      <c r="M15" s="40">
        <v>1.27</v>
      </c>
      <c r="N15" s="40">
        <v>1</v>
      </c>
      <c r="O15" s="40">
        <v>1.1299999999999999</v>
      </c>
      <c r="P15" s="40">
        <v>1.43</v>
      </c>
      <c r="Q15" s="40">
        <v>1</v>
      </c>
      <c r="R15" s="40">
        <v>0.84</v>
      </c>
      <c r="S15" s="38">
        <v>1.2857142857142858</v>
      </c>
      <c r="T15" s="38">
        <v>1</v>
      </c>
      <c r="U15" s="38">
        <v>0.96</v>
      </c>
      <c r="V15" s="39">
        <f t="shared" si="0"/>
        <v>1.0788095238095237</v>
      </c>
      <c r="W15" s="39">
        <f t="shared" si="1"/>
        <v>1.06</v>
      </c>
      <c r="X15" s="38">
        <f t="shared" si="2"/>
        <v>1.0922448979591837</v>
      </c>
      <c r="Y15" s="40">
        <v>1</v>
      </c>
      <c r="Z15" s="40">
        <v>1</v>
      </c>
      <c r="AA15" s="40"/>
      <c r="AB15" s="40">
        <v>1.5</v>
      </c>
      <c r="AC15" s="40">
        <v>0.81</v>
      </c>
      <c r="AD15" s="40">
        <v>0.89</v>
      </c>
      <c r="AE15" s="38">
        <f t="shared" si="3"/>
        <v>1.04</v>
      </c>
      <c r="AF15" s="40">
        <v>0.76666666666666672</v>
      </c>
      <c r="AG15" s="40">
        <v>0.95454545454545459</v>
      </c>
      <c r="AH15" s="40">
        <v>0.76</v>
      </c>
      <c r="AI15" s="40">
        <v>1.26</v>
      </c>
      <c r="AJ15" s="40">
        <v>0.89473684210526316</v>
      </c>
      <c r="AK15" s="40"/>
      <c r="AL15" s="38">
        <f t="shared" si="4"/>
        <v>0.92718979266347679</v>
      </c>
      <c r="AM15" s="40">
        <v>0.93</v>
      </c>
      <c r="AN15" s="40">
        <v>3.55</v>
      </c>
      <c r="AO15" s="40">
        <v>2.71</v>
      </c>
      <c r="AQ15" s="40"/>
      <c r="AR15" s="40"/>
      <c r="AS15" s="40"/>
      <c r="AT15" s="38">
        <f t="shared" si="5"/>
        <v>2.3966666666666665</v>
      </c>
    </row>
    <row r="16" spans="1:46" ht="24" x14ac:dyDescent="0.35">
      <c r="A16" s="17">
        <v>15</v>
      </c>
      <c r="B16" s="17" t="s">
        <v>4</v>
      </c>
      <c r="C16" s="18" t="s">
        <v>23</v>
      </c>
      <c r="D16" s="18" t="s">
        <v>11</v>
      </c>
      <c r="E16" s="26" t="s">
        <v>116</v>
      </c>
      <c r="F16" s="29" t="s">
        <v>26</v>
      </c>
      <c r="G16" s="40">
        <v>0.94444444444444442</v>
      </c>
      <c r="H16" s="40">
        <v>1</v>
      </c>
      <c r="I16" s="40">
        <v>0.73809523809523814</v>
      </c>
      <c r="J16" s="40">
        <v>0.95</v>
      </c>
      <c r="K16" s="40">
        <v>1.06</v>
      </c>
      <c r="L16" s="40">
        <v>1</v>
      </c>
      <c r="M16" s="40">
        <v>0.78</v>
      </c>
      <c r="N16" s="40">
        <v>1</v>
      </c>
      <c r="O16" s="40">
        <v>1.08</v>
      </c>
      <c r="P16" s="40">
        <v>1.1000000000000001</v>
      </c>
      <c r="Q16" s="40">
        <v>0.84</v>
      </c>
      <c r="R16" s="40">
        <v>1.0900000000000001</v>
      </c>
      <c r="S16" s="38">
        <v>1.6445783132530118</v>
      </c>
      <c r="T16" s="38">
        <v>1.7142857142857142</v>
      </c>
      <c r="U16" s="38">
        <v>0.88235294117647056</v>
      </c>
      <c r="V16" s="39">
        <f t="shared" si="0"/>
        <v>1.0549171100836587</v>
      </c>
      <c r="W16" s="39">
        <f t="shared" si="1"/>
        <v>0.92134920634920636</v>
      </c>
      <c r="X16" s="38">
        <f t="shared" si="2"/>
        <v>1.1930309955307425</v>
      </c>
      <c r="Y16" s="40">
        <v>1.48</v>
      </c>
      <c r="Z16" s="40">
        <v>0.97</v>
      </c>
      <c r="AA16" s="40">
        <v>0.85</v>
      </c>
      <c r="AB16" s="40">
        <v>0.7</v>
      </c>
      <c r="AC16" s="40">
        <v>1.03</v>
      </c>
      <c r="AD16" s="40">
        <v>0.82</v>
      </c>
      <c r="AE16" s="38">
        <f t="shared" si="3"/>
        <v>0.97500000000000009</v>
      </c>
      <c r="AF16" s="40">
        <v>1.0625</v>
      </c>
      <c r="AG16" s="40">
        <v>0.70588235294117652</v>
      </c>
      <c r="AH16" s="40">
        <v>0.85</v>
      </c>
      <c r="AI16" s="40">
        <v>0.64</v>
      </c>
      <c r="AJ16" s="40">
        <v>0.91666666666666663</v>
      </c>
      <c r="AK16" s="40"/>
      <c r="AL16" s="38">
        <f t="shared" si="4"/>
        <v>0.83500980392156876</v>
      </c>
      <c r="AM16" s="40">
        <v>1.22</v>
      </c>
      <c r="AN16" s="40"/>
      <c r="AO16" s="40"/>
      <c r="AP16" s="40"/>
      <c r="AQ16" s="40"/>
      <c r="AR16" s="40"/>
      <c r="AS16" s="40"/>
      <c r="AT16" s="38">
        <f t="shared" si="5"/>
        <v>1.22</v>
      </c>
    </row>
    <row r="17" spans="1:46" ht="24" x14ac:dyDescent="0.35">
      <c r="A17" s="17">
        <v>16</v>
      </c>
      <c r="B17" s="17" t="s">
        <v>4</v>
      </c>
      <c r="C17" s="18" t="s">
        <v>23</v>
      </c>
      <c r="D17" s="18" t="s">
        <v>11</v>
      </c>
      <c r="E17" s="26" t="s">
        <v>116</v>
      </c>
      <c r="F17" s="29" t="s">
        <v>27</v>
      </c>
      <c r="G17" s="40">
        <v>0.98936170212765961</v>
      </c>
      <c r="H17" s="40">
        <v>1.1733333333333333</v>
      </c>
      <c r="I17" s="40">
        <v>1.0240963855421688</v>
      </c>
      <c r="J17" s="40">
        <v>1.07</v>
      </c>
      <c r="K17" s="40">
        <v>1.08</v>
      </c>
      <c r="L17" s="40">
        <v>1.04</v>
      </c>
      <c r="M17" s="40">
        <v>1.01</v>
      </c>
      <c r="N17" s="40">
        <v>1.1299999999999999</v>
      </c>
      <c r="O17" s="40">
        <v>0.94</v>
      </c>
      <c r="P17" s="40">
        <v>1.0900000000000001</v>
      </c>
      <c r="Q17" s="40">
        <v>1.3</v>
      </c>
      <c r="R17" s="40">
        <v>1.04</v>
      </c>
      <c r="S17" s="38">
        <v>1</v>
      </c>
      <c r="T17" s="38">
        <v>1</v>
      </c>
      <c r="U17" s="38">
        <v>1.027027027027027</v>
      </c>
      <c r="V17" s="39">
        <f t="shared" si="0"/>
        <v>1.0609212298686794</v>
      </c>
      <c r="W17" s="39">
        <f t="shared" si="1"/>
        <v>1.0590160642570281</v>
      </c>
      <c r="X17" s="38">
        <f t="shared" si="2"/>
        <v>1.0567181467181468</v>
      </c>
      <c r="Y17" s="40">
        <v>0.93</v>
      </c>
      <c r="Z17" s="40">
        <v>1.76</v>
      </c>
      <c r="AA17" s="40">
        <v>1.22</v>
      </c>
      <c r="AB17" s="40">
        <v>1.05</v>
      </c>
      <c r="AC17" s="40">
        <v>1</v>
      </c>
      <c r="AD17" s="40"/>
      <c r="AE17" s="38">
        <f t="shared" si="3"/>
        <v>1.1919999999999999</v>
      </c>
      <c r="AF17" s="40">
        <v>1</v>
      </c>
      <c r="AG17" s="40">
        <v>1</v>
      </c>
      <c r="AH17" s="40">
        <v>0.94</v>
      </c>
      <c r="AI17" s="40">
        <v>0.97</v>
      </c>
      <c r="AJ17" s="40"/>
      <c r="AK17" s="40"/>
      <c r="AL17" s="38">
        <f t="shared" si="4"/>
        <v>0.97750000000000004</v>
      </c>
      <c r="AM17" s="40"/>
      <c r="AN17" s="40"/>
      <c r="AO17" s="40"/>
      <c r="AP17" s="40"/>
      <c r="AQ17" s="40"/>
      <c r="AR17" s="40"/>
      <c r="AS17" s="40"/>
      <c r="AT17" s="157"/>
    </row>
    <row r="18" spans="1:46" ht="24" x14ac:dyDescent="0.35">
      <c r="A18" s="17">
        <v>17</v>
      </c>
      <c r="B18" s="17" t="s">
        <v>4</v>
      </c>
      <c r="C18" s="18" t="s">
        <v>29</v>
      </c>
      <c r="D18" s="24" t="s">
        <v>13</v>
      </c>
      <c r="E18" s="26" t="s">
        <v>116</v>
      </c>
      <c r="F18" s="30" t="s">
        <v>30</v>
      </c>
      <c r="G18" s="40">
        <v>0.94117647058823528</v>
      </c>
      <c r="H18" s="40">
        <v>1.0588235294117647</v>
      </c>
      <c r="I18" s="40">
        <v>0.90625</v>
      </c>
      <c r="J18" s="40">
        <v>1.1351351351351351</v>
      </c>
      <c r="K18" s="38">
        <v>0.9285714285714286</v>
      </c>
      <c r="L18" s="38">
        <v>0.91935483870967738</v>
      </c>
      <c r="M18" s="40">
        <v>0.91489361702127658</v>
      </c>
      <c r="N18" s="40">
        <v>0.91803278688524592</v>
      </c>
      <c r="O18" s="40">
        <v>1.06</v>
      </c>
      <c r="P18" s="40">
        <v>0.95</v>
      </c>
      <c r="Q18" s="40">
        <v>1.04</v>
      </c>
      <c r="R18" s="40">
        <v>0.96</v>
      </c>
      <c r="S18" s="38">
        <v>1.0350877192982457</v>
      </c>
      <c r="T18" s="38">
        <v>1</v>
      </c>
      <c r="U18" s="38">
        <v>1</v>
      </c>
      <c r="V18" s="39">
        <f t="shared" si="0"/>
        <v>0.98448836837473408</v>
      </c>
      <c r="W18" s="39">
        <f t="shared" si="1"/>
        <v>0.95370630105379395</v>
      </c>
      <c r="X18" s="38">
        <f t="shared" si="2"/>
        <v>1.0064411027568922</v>
      </c>
      <c r="Y18" s="40">
        <v>1.23</v>
      </c>
      <c r="Z18" s="40">
        <v>1.04</v>
      </c>
      <c r="AA18" s="40">
        <v>0.98</v>
      </c>
      <c r="AB18" s="40">
        <v>1.01</v>
      </c>
      <c r="AC18" s="40">
        <v>1</v>
      </c>
      <c r="AD18" s="40">
        <v>1</v>
      </c>
      <c r="AE18" s="38">
        <f t="shared" si="3"/>
        <v>1.0433333333333332</v>
      </c>
      <c r="AF18" s="40">
        <v>1.103448275862069</v>
      </c>
      <c r="AG18" s="40">
        <v>1</v>
      </c>
      <c r="AH18" s="40">
        <v>1.02</v>
      </c>
      <c r="AI18" s="40">
        <v>0.92</v>
      </c>
      <c r="AJ18" s="40">
        <v>1</v>
      </c>
      <c r="AK18" s="40">
        <v>1</v>
      </c>
      <c r="AL18" s="38">
        <f t="shared" si="4"/>
        <v>1.0072413793103447</v>
      </c>
      <c r="AM18" s="40">
        <v>0.96</v>
      </c>
      <c r="AN18" s="40">
        <v>1</v>
      </c>
      <c r="AO18" s="40">
        <v>1</v>
      </c>
      <c r="AP18" s="40"/>
      <c r="AQ18" s="40"/>
      <c r="AR18" s="40"/>
      <c r="AS18" s="40"/>
      <c r="AT18" s="38">
        <f t="shared" si="5"/>
        <v>0.98666666666666669</v>
      </c>
    </row>
    <row r="19" spans="1:46" ht="24" x14ac:dyDescent="0.35">
      <c r="A19" s="17">
        <v>18</v>
      </c>
      <c r="B19" s="17" t="s">
        <v>4</v>
      </c>
      <c r="C19" s="18" t="s">
        <v>29</v>
      </c>
      <c r="D19" s="24" t="s">
        <v>13</v>
      </c>
      <c r="E19" s="26" t="s">
        <v>116</v>
      </c>
      <c r="F19" s="30" t="s">
        <v>31</v>
      </c>
      <c r="G19" s="40">
        <v>2.4500000000000002</v>
      </c>
      <c r="H19" s="40">
        <v>0.98648648648648651</v>
      </c>
      <c r="I19" s="40">
        <v>0.90789473684210531</v>
      </c>
      <c r="J19" s="40">
        <v>0.97435897435897434</v>
      </c>
      <c r="K19" s="38">
        <v>0.98809523809523814</v>
      </c>
      <c r="L19" s="40">
        <v>0.97222222222222221</v>
      </c>
      <c r="M19" s="38">
        <v>0.91304347826086951</v>
      </c>
      <c r="N19" s="38">
        <v>0.93670886075949367</v>
      </c>
      <c r="O19" s="40">
        <v>1</v>
      </c>
      <c r="P19" s="40">
        <v>0.99</v>
      </c>
      <c r="Q19" s="40">
        <v>1.04</v>
      </c>
      <c r="R19" s="40">
        <v>0.99</v>
      </c>
      <c r="S19" s="38">
        <v>1.0151515151515151</v>
      </c>
      <c r="T19" s="38">
        <v>0.93055555555555558</v>
      </c>
      <c r="U19" s="38">
        <v>0.88135593220338981</v>
      </c>
      <c r="V19" s="39">
        <f t="shared" si="0"/>
        <v>1.0650581999957234</v>
      </c>
      <c r="W19" s="39">
        <f t="shared" si="1"/>
        <v>0.94872058508981716</v>
      </c>
      <c r="X19" s="38">
        <f t="shared" si="2"/>
        <v>0.97815185755863721</v>
      </c>
      <c r="Y19" s="40">
        <v>1</v>
      </c>
      <c r="Z19" s="40">
        <v>1</v>
      </c>
      <c r="AA19" s="40">
        <v>1.03</v>
      </c>
      <c r="AB19" s="40">
        <v>1</v>
      </c>
      <c r="AC19" s="40">
        <v>0.99</v>
      </c>
      <c r="AD19" s="40">
        <v>1</v>
      </c>
      <c r="AE19" s="38">
        <f t="shared" si="3"/>
        <v>1.0033333333333334</v>
      </c>
      <c r="AF19" s="40">
        <v>0.98550724637681164</v>
      </c>
      <c r="AG19" s="40">
        <v>0.8970588235294118</v>
      </c>
      <c r="AH19" s="40">
        <v>0.92</v>
      </c>
      <c r="AI19" s="40">
        <v>0.97</v>
      </c>
      <c r="AJ19" s="40">
        <v>0.97499999999999998</v>
      </c>
      <c r="AK19" s="40">
        <v>0.91463414634146345</v>
      </c>
      <c r="AL19" s="38">
        <f t="shared" si="4"/>
        <v>0.94370003604128117</v>
      </c>
      <c r="AM19" s="40">
        <v>0.96</v>
      </c>
      <c r="AN19" s="40">
        <v>0.9</v>
      </c>
      <c r="AO19" s="40">
        <v>0.93</v>
      </c>
      <c r="AP19" s="40"/>
      <c r="AQ19" s="40"/>
      <c r="AR19" s="40"/>
      <c r="AS19" s="40"/>
      <c r="AT19" s="38">
        <f t="shared" si="5"/>
        <v>0.93</v>
      </c>
    </row>
    <row r="20" spans="1:46" ht="24" x14ac:dyDescent="0.35">
      <c r="A20" s="17">
        <v>19</v>
      </c>
      <c r="B20" s="17" t="s">
        <v>4</v>
      </c>
      <c r="C20" s="18" t="s">
        <v>29</v>
      </c>
      <c r="D20" s="24" t="s">
        <v>13</v>
      </c>
      <c r="E20" s="26" t="s">
        <v>116</v>
      </c>
      <c r="F20" s="31" t="s">
        <v>32</v>
      </c>
      <c r="G20" s="40">
        <v>0.97323600973236002</v>
      </c>
      <c r="H20" s="40">
        <v>0.875</v>
      </c>
      <c r="I20" s="40">
        <v>0.92</v>
      </c>
      <c r="J20" s="40">
        <v>1</v>
      </c>
      <c r="K20" s="38">
        <v>0.8867924528301887</v>
      </c>
      <c r="L20" s="38">
        <v>1</v>
      </c>
      <c r="M20" s="38">
        <v>0.93220338983050843</v>
      </c>
      <c r="N20" s="38">
        <v>1.0384615384615385</v>
      </c>
      <c r="O20" s="40">
        <v>0.93</v>
      </c>
      <c r="P20" s="40">
        <v>0.94</v>
      </c>
      <c r="Q20" s="40">
        <v>0.92</v>
      </c>
      <c r="R20" s="40">
        <v>0.71</v>
      </c>
      <c r="S20" s="38">
        <v>0.94339622641509435</v>
      </c>
      <c r="T20" s="38">
        <v>0.85964912280701755</v>
      </c>
      <c r="U20" s="38">
        <v>0.94444444444444442</v>
      </c>
      <c r="V20" s="39">
        <f t="shared" si="0"/>
        <v>0.92487887896807686</v>
      </c>
      <c r="W20" s="39">
        <f t="shared" si="1"/>
        <v>0.96290956352037249</v>
      </c>
      <c r="X20" s="38">
        <f t="shared" si="2"/>
        <v>0.89249854195236522</v>
      </c>
      <c r="Y20" s="40">
        <v>0.97</v>
      </c>
      <c r="Z20" s="40">
        <v>0.88</v>
      </c>
      <c r="AA20" s="40">
        <v>1.02</v>
      </c>
      <c r="AB20" s="40">
        <v>0.95</v>
      </c>
      <c r="AC20" s="40">
        <v>1.03</v>
      </c>
      <c r="AD20" s="40">
        <v>0.9</v>
      </c>
      <c r="AE20" s="38">
        <f t="shared" si="3"/>
        <v>0.95833333333333348</v>
      </c>
      <c r="AF20" s="40">
        <v>1.0535714285714286</v>
      </c>
      <c r="AG20" s="40">
        <v>0.90639625585023409</v>
      </c>
      <c r="AH20" s="40">
        <v>0.97</v>
      </c>
      <c r="AI20" s="40">
        <v>0.93</v>
      </c>
      <c r="AJ20" s="40">
        <v>0.81818181818181823</v>
      </c>
      <c r="AK20" s="40">
        <v>1.1428571428571428</v>
      </c>
      <c r="AL20" s="38">
        <f t="shared" si="4"/>
        <v>0.97016777424343736</v>
      </c>
      <c r="AM20" s="40">
        <v>0.97</v>
      </c>
      <c r="AN20" s="40">
        <v>0.98</v>
      </c>
      <c r="AO20" s="40">
        <v>1.02</v>
      </c>
      <c r="AP20" s="40"/>
      <c r="AQ20" s="40"/>
      <c r="AR20" s="40"/>
      <c r="AS20" s="40"/>
      <c r="AT20" s="38">
        <f t="shared" si="5"/>
        <v>0.98999999999999988</v>
      </c>
    </row>
    <row r="21" spans="1:46" ht="24" x14ac:dyDescent="0.35">
      <c r="A21" s="17">
        <v>20</v>
      </c>
      <c r="B21" s="17" t="s">
        <v>4</v>
      </c>
      <c r="C21" s="18" t="s">
        <v>29</v>
      </c>
      <c r="D21" s="19" t="s">
        <v>15</v>
      </c>
      <c r="E21" s="26" t="s">
        <v>116</v>
      </c>
      <c r="F21" s="29" t="s">
        <v>33</v>
      </c>
      <c r="G21" s="40">
        <v>1.3148148148148149</v>
      </c>
      <c r="H21" s="40">
        <v>0.83076923076923082</v>
      </c>
      <c r="I21" s="38">
        <v>0.78873239436619713</v>
      </c>
      <c r="J21" s="38">
        <v>0.81428571428571428</v>
      </c>
      <c r="K21" s="38">
        <v>0.90740740740740744</v>
      </c>
      <c r="L21" s="38">
        <v>0.77777777777777779</v>
      </c>
      <c r="M21" s="37">
        <v>1.0166666666666666</v>
      </c>
      <c r="N21" s="37">
        <v>0.94827586206896552</v>
      </c>
      <c r="O21" s="37">
        <v>0.94827586206896552</v>
      </c>
      <c r="P21" s="37">
        <v>0.94117647058823528</v>
      </c>
      <c r="Q21" s="37">
        <v>0.86</v>
      </c>
      <c r="R21" s="40">
        <v>0.96</v>
      </c>
      <c r="S21" s="38">
        <v>0.91</v>
      </c>
      <c r="T21" s="38">
        <v>0.9</v>
      </c>
      <c r="U21" s="38">
        <v>0.73</v>
      </c>
      <c r="V21" s="39">
        <f t="shared" si="0"/>
        <v>0.90987881338759835</v>
      </c>
      <c r="W21" s="39">
        <f t="shared" si="1"/>
        <v>0.87552430376212154</v>
      </c>
      <c r="X21" s="38">
        <f t="shared" si="2"/>
        <v>0.8927789046653144</v>
      </c>
      <c r="Y21" s="40">
        <v>0.98</v>
      </c>
      <c r="Z21" s="40">
        <v>1</v>
      </c>
      <c r="AA21" s="40">
        <v>0.96</v>
      </c>
      <c r="AB21" s="40">
        <v>0.88</v>
      </c>
      <c r="AC21" s="40">
        <v>1.05</v>
      </c>
      <c r="AD21" s="40">
        <v>1</v>
      </c>
      <c r="AE21" s="38">
        <f t="shared" si="3"/>
        <v>0.97833333333333339</v>
      </c>
      <c r="AF21" s="40">
        <v>1</v>
      </c>
      <c r="AG21" s="40">
        <v>0.92307692307692313</v>
      </c>
      <c r="AH21" s="40">
        <v>0.88</v>
      </c>
      <c r="AI21" s="40"/>
      <c r="AJ21" s="40">
        <v>1</v>
      </c>
      <c r="AK21" s="40"/>
      <c r="AL21" s="38">
        <f t="shared" si="4"/>
        <v>0.95076923076923081</v>
      </c>
      <c r="AM21" s="40">
        <v>1</v>
      </c>
      <c r="AN21" s="40">
        <v>0.93</v>
      </c>
      <c r="AO21" s="40"/>
      <c r="AP21" s="40"/>
      <c r="AQ21" s="40"/>
      <c r="AR21" s="40"/>
      <c r="AS21" s="40"/>
      <c r="AT21" s="38">
        <f t="shared" si="5"/>
        <v>0.96500000000000008</v>
      </c>
    </row>
    <row r="22" spans="1:46" ht="24" customHeight="1" x14ac:dyDescent="0.35">
      <c r="A22" s="17">
        <v>21</v>
      </c>
      <c r="B22" s="17" t="s">
        <v>4</v>
      </c>
      <c r="C22" s="18" t="s">
        <v>5</v>
      </c>
      <c r="D22" s="19" t="s">
        <v>7</v>
      </c>
      <c r="E22" s="26" t="s">
        <v>43</v>
      </c>
      <c r="F22" s="132" t="s">
        <v>64</v>
      </c>
      <c r="G22" s="37"/>
      <c r="H22" s="37"/>
      <c r="I22" s="37"/>
      <c r="J22" s="37"/>
      <c r="K22" s="38">
        <v>0.26315789473684209</v>
      </c>
      <c r="L22" s="38">
        <v>1.28</v>
      </c>
      <c r="M22" s="38">
        <v>1.2222222222222223</v>
      </c>
      <c r="N22" s="38">
        <v>1.0476190476190477</v>
      </c>
      <c r="O22" s="38">
        <v>1.0666666666666667</v>
      </c>
      <c r="P22" s="38">
        <v>1</v>
      </c>
      <c r="Q22" s="38">
        <v>0.86</v>
      </c>
      <c r="R22" s="38">
        <v>2.1</v>
      </c>
      <c r="S22" s="38">
        <v>2.7</v>
      </c>
      <c r="T22" s="38">
        <v>1.1818181818181819</v>
      </c>
      <c r="U22" s="38">
        <v>2</v>
      </c>
      <c r="V22" s="39">
        <f t="shared" si="0"/>
        <v>1.3383167284602691</v>
      </c>
      <c r="W22" s="39">
        <f t="shared" si="1"/>
        <v>0.9532497911445279</v>
      </c>
      <c r="X22" s="38">
        <f t="shared" si="2"/>
        <v>1.5583549783549784</v>
      </c>
      <c r="Y22" s="158"/>
      <c r="Z22" s="158"/>
      <c r="AA22" s="158"/>
      <c r="AB22" s="158"/>
      <c r="AC22" s="158"/>
      <c r="AD22" s="158"/>
      <c r="AE22" s="157"/>
      <c r="AF22" s="158"/>
      <c r="AG22" s="158"/>
      <c r="AH22" s="158"/>
      <c r="AI22" s="158"/>
      <c r="AJ22" s="158"/>
      <c r="AK22" s="158"/>
      <c r="AL22" s="157">
        <f t="shared" si="4"/>
        <v>0</v>
      </c>
      <c r="AM22" s="158"/>
      <c r="AN22" s="158"/>
      <c r="AO22" s="158"/>
      <c r="AP22" s="158"/>
      <c r="AQ22" s="158"/>
      <c r="AR22" s="158"/>
      <c r="AS22" s="158"/>
      <c r="AT22" s="157"/>
    </row>
    <row r="23" spans="1:46" ht="24.5" x14ac:dyDescent="0.35">
      <c r="A23" s="17">
        <v>22</v>
      </c>
      <c r="B23" s="17" t="s">
        <v>4</v>
      </c>
      <c r="C23" s="18" t="s">
        <v>29</v>
      </c>
      <c r="D23" s="16" t="s">
        <v>17</v>
      </c>
      <c r="E23" s="26" t="s">
        <v>116</v>
      </c>
      <c r="F23" s="133" t="s">
        <v>34</v>
      </c>
      <c r="G23" s="37"/>
      <c r="H23" s="37"/>
      <c r="I23" s="37"/>
      <c r="J23" s="37"/>
      <c r="K23" s="37"/>
      <c r="L23" s="37"/>
      <c r="M23" s="37"/>
      <c r="N23" s="37"/>
      <c r="O23" s="38">
        <f>'[1]Base data Velocity'!T23/'[1]Base data Velocity'!T36</f>
        <v>1</v>
      </c>
      <c r="P23" s="38">
        <f>'[1]Base data Velocity'!U23/'[1]Base data Velocity'!U36</f>
        <v>1</v>
      </c>
      <c r="Q23" s="38">
        <f>'[1]Base data Velocity'!W23/'[1]Base data Velocity'!W36</f>
        <v>1</v>
      </c>
      <c r="R23" s="38">
        <v>1</v>
      </c>
      <c r="S23" s="38">
        <v>1</v>
      </c>
      <c r="T23" s="38">
        <v>1</v>
      </c>
      <c r="U23" s="38">
        <v>1</v>
      </c>
      <c r="V23" s="39">
        <f t="shared" si="0"/>
        <v>1</v>
      </c>
      <c r="W23" s="39"/>
      <c r="X23" s="38">
        <f t="shared" si="2"/>
        <v>1</v>
      </c>
      <c r="Y23" s="40">
        <v>1</v>
      </c>
      <c r="Z23" s="40">
        <v>1</v>
      </c>
      <c r="AA23" s="40">
        <v>1</v>
      </c>
      <c r="AB23" s="40">
        <v>0.88</v>
      </c>
      <c r="AC23" s="40">
        <v>1</v>
      </c>
      <c r="AD23" s="40">
        <v>1</v>
      </c>
      <c r="AE23" s="38">
        <f t="shared" si="3"/>
        <v>0.98</v>
      </c>
      <c r="AF23" s="40">
        <v>1</v>
      </c>
      <c r="AG23" s="40">
        <v>1</v>
      </c>
      <c r="AH23" s="40">
        <v>1</v>
      </c>
      <c r="AI23" s="40">
        <v>1</v>
      </c>
      <c r="AJ23" s="40">
        <v>1</v>
      </c>
      <c r="AK23" s="40">
        <v>1</v>
      </c>
      <c r="AL23" s="38">
        <f t="shared" si="4"/>
        <v>1</v>
      </c>
      <c r="AM23" s="40">
        <v>0.95</v>
      </c>
      <c r="AN23" s="40">
        <v>1</v>
      </c>
      <c r="AO23" s="40">
        <v>1</v>
      </c>
      <c r="AP23" s="40"/>
      <c r="AQ23" s="40"/>
      <c r="AR23" s="40"/>
      <c r="AS23" s="40"/>
      <c r="AT23" s="38">
        <f t="shared" si="5"/>
        <v>0.98333333333333339</v>
      </c>
    </row>
    <row r="24" spans="1:46" ht="24.5" x14ac:dyDescent="0.35">
      <c r="A24" s="17">
        <v>23</v>
      </c>
      <c r="B24" s="17" t="s">
        <v>4</v>
      </c>
      <c r="C24" s="18" t="s">
        <v>29</v>
      </c>
      <c r="D24" s="16" t="s">
        <v>17</v>
      </c>
      <c r="E24" s="26" t="s">
        <v>116</v>
      </c>
      <c r="F24" s="133" t="s">
        <v>35</v>
      </c>
      <c r="G24" s="37"/>
      <c r="H24" s="37"/>
      <c r="I24" s="37"/>
      <c r="J24" s="37"/>
      <c r="K24" s="37"/>
      <c r="L24" s="37"/>
      <c r="M24" s="37"/>
      <c r="N24" s="37"/>
      <c r="O24" s="38">
        <f>'[1]Base data Velocity'!T24/'[1]Base data Velocity'!T37</f>
        <v>1</v>
      </c>
      <c r="P24" s="38">
        <f>'[1]Base data Velocity'!U24/'[1]Base data Velocity'!U37</f>
        <v>1</v>
      </c>
      <c r="Q24" s="38">
        <f>'[1]Base data Velocity'!W24/'[1]Base data Velocity'!W37</f>
        <v>2.125</v>
      </c>
      <c r="R24" s="38">
        <v>1.04</v>
      </c>
      <c r="S24" s="38">
        <v>1.64</v>
      </c>
      <c r="T24" s="38">
        <v>0</v>
      </c>
      <c r="U24" s="38">
        <v>1</v>
      </c>
      <c r="V24" s="39">
        <f t="shared" si="0"/>
        <v>1.115</v>
      </c>
      <c r="W24" s="39"/>
      <c r="X24" s="38">
        <f t="shared" si="2"/>
        <v>1.115</v>
      </c>
      <c r="Y24" s="40">
        <v>1</v>
      </c>
      <c r="Z24" s="40">
        <v>1</v>
      </c>
      <c r="AA24" s="40">
        <v>1</v>
      </c>
      <c r="AB24" s="40">
        <v>1.03</v>
      </c>
      <c r="AC24" s="40">
        <v>1</v>
      </c>
      <c r="AD24" s="40">
        <v>1</v>
      </c>
      <c r="AE24" s="38">
        <f t="shared" si="3"/>
        <v>1.0050000000000001</v>
      </c>
      <c r="AF24" s="40">
        <v>1</v>
      </c>
      <c r="AG24" s="40">
        <v>1.3333333333333333</v>
      </c>
      <c r="AH24" s="40">
        <v>1</v>
      </c>
      <c r="AI24" s="40">
        <v>1</v>
      </c>
      <c r="AJ24" s="40">
        <v>1</v>
      </c>
      <c r="AK24" s="40">
        <v>1</v>
      </c>
      <c r="AL24" s="38">
        <f t="shared" si="4"/>
        <v>1.0555555555555556</v>
      </c>
      <c r="AM24" s="40">
        <v>0.84</v>
      </c>
      <c r="AN24" s="40">
        <v>1</v>
      </c>
      <c r="AO24" s="40">
        <v>0.82</v>
      </c>
      <c r="AP24" s="40"/>
      <c r="AQ24" s="40"/>
      <c r="AR24" s="40"/>
      <c r="AS24" s="40"/>
      <c r="AT24" s="38">
        <f t="shared" si="5"/>
        <v>0.8866666666666666</v>
      </c>
    </row>
    <row r="25" spans="1:46" ht="24.5" x14ac:dyDescent="0.35">
      <c r="A25" s="17">
        <v>24</v>
      </c>
      <c r="B25" s="17" t="s">
        <v>4</v>
      </c>
      <c r="C25" s="18" t="s">
        <v>29</v>
      </c>
      <c r="D25" s="16" t="s">
        <v>17</v>
      </c>
      <c r="E25" s="26" t="s">
        <v>116</v>
      </c>
      <c r="F25" s="133" t="s">
        <v>36</v>
      </c>
      <c r="G25" s="159"/>
      <c r="H25" s="159"/>
      <c r="I25" s="159"/>
      <c r="J25" s="159"/>
      <c r="K25" s="159"/>
      <c r="L25" s="159"/>
      <c r="M25" s="159"/>
      <c r="N25" s="159"/>
      <c r="O25" s="157"/>
      <c r="P25" s="157"/>
      <c r="Q25" s="157"/>
      <c r="R25" s="157"/>
      <c r="S25" s="157"/>
      <c r="T25" s="157"/>
      <c r="U25" s="157"/>
      <c r="V25" s="160"/>
      <c r="W25" s="160"/>
      <c r="X25" s="157"/>
      <c r="Y25" s="159"/>
      <c r="Z25" s="159"/>
      <c r="AA25" s="158"/>
      <c r="AB25" s="158"/>
      <c r="AC25" s="158"/>
      <c r="AD25" s="158"/>
      <c r="AE25" s="157"/>
      <c r="AF25" s="158">
        <v>1</v>
      </c>
      <c r="AG25" s="158"/>
      <c r="AH25" s="158"/>
      <c r="AI25" s="158"/>
      <c r="AJ25" s="158"/>
      <c r="AK25" s="158"/>
      <c r="AL25" s="157">
        <f t="shared" si="4"/>
        <v>1</v>
      </c>
      <c r="AM25" s="158"/>
      <c r="AN25" s="158"/>
      <c r="AO25" s="158"/>
      <c r="AP25" s="158"/>
      <c r="AQ25" s="158"/>
      <c r="AR25" s="158"/>
      <c r="AS25" s="158"/>
      <c r="AT25" s="157"/>
    </row>
    <row r="26" spans="1:46" ht="24" x14ac:dyDescent="0.35">
      <c r="A26" s="17">
        <v>25</v>
      </c>
      <c r="B26" s="17" t="s">
        <v>4</v>
      </c>
      <c r="C26" s="18" t="s">
        <v>23</v>
      </c>
      <c r="D26" s="18" t="s">
        <v>11</v>
      </c>
      <c r="E26" s="26" t="s">
        <v>116</v>
      </c>
      <c r="F26" s="29" t="s">
        <v>25</v>
      </c>
      <c r="G26" s="40"/>
      <c r="H26" s="40"/>
      <c r="I26" s="40"/>
      <c r="J26" s="40"/>
      <c r="K26" s="40"/>
      <c r="L26" s="40"/>
      <c r="M26" s="40"/>
      <c r="N26" s="40"/>
      <c r="O26" s="40"/>
      <c r="P26" s="40"/>
      <c r="Q26" s="40"/>
      <c r="R26" s="40"/>
      <c r="S26" s="38"/>
      <c r="T26" s="38"/>
      <c r="U26" s="38"/>
      <c r="V26" s="39"/>
      <c r="W26" s="39"/>
      <c r="X26" s="38"/>
      <c r="Y26" s="40"/>
      <c r="Z26" s="40"/>
      <c r="AA26" s="40"/>
      <c r="AB26" s="40"/>
      <c r="AC26" s="40"/>
      <c r="AD26" s="40"/>
      <c r="AE26" s="38"/>
      <c r="AF26" s="40"/>
      <c r="AG26" s="40">
        <v>2</v>
      </c>
      <c r="AH26" s="40">
        <v>0.38</v>
      </c>
      <c r="AI26" s="40">
        <v>1.06</v>
      </c>
      <c r="AJ26" s="40">
        <v>0.9375</v>
      </c>
      <c r="AK26" s="40"/>
      <c r="AL26" s="38">
        <f t="shared" si="4"/>
        <v>1.0943749999999999</v>
      </c>
      <c r="AM26" s="40">
        <v>0.93</v>
      </c>
      <c r="AN26" s="40"/>
      <c r="AO26" s="40"/>
      <c r="AP26" s="40"/>
      <c r="AQ26" s="40"/>
      <c r="AR26" s="40"/>
      <c r="AS26" s="40"/>
      <c r="AT26" s="38">
        <f t="shared" si="5"/>
        <v>0.93</v>
      </c>
    </row>
    <row r="27" spans="1:46" x14ac:dyDescent="0.35">
      <c r="Y27" s="127"/>
      <c r="Z27" s="127"/>
      <c r="AA27" s="127"/>
      <c r="AB27" s="127"/>
      <c r="AC27" s="127"/>
      <c r="AD27" s="127"/>
      <c r="AE27" s="127"/>
      <c r="AL27" s="127"/>
      <c r="AT27" s="127"/>
    </row>
  </sheetData>
  <autoFilter ref="A1:AT26" xr:uid="{5BFD2C3E-470B-4867-945D-10ED45B952EE}"/>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7597A-BC88-44D6-AB52-0FAF87BFD26F}">
  <dimension ref="A1:E11"/>
  <sheetViews>
    <sheetView zoomScale="90" zoomScaleNormal="90" workbookViewId="0">
      <selection activeCell="A5" sqref="A5"/>
    </sheetView>
  </sheetViews>
  <sheetFormatPr defaultRowHeight="14.5" x14ac:dyDescent="0.35"/>
  <cols>
    <col min="1" max="1" width="17.1796875" bestFit="1" customWidth="1"/>
    <col min="2" max="2" width="14" bestFit="1" customWidth="1"/>
    <col min="3" max="3" width="11.90625" bestFit="1" customWidth="1"/>
    <col min="4" max="4" width="12.54296875" bestFit="1" customWidth="1"/>
    <col min="5" max="5" width="13.6328125" bestFit="1" customWidth="1"/>
    <col min="6" max="6" width="69.90625" bestFit="1" customWidth="1"/>
  </cols>
  <sheetData>
    <row r="1" spans="1:5" x14ac:dyDescent="0.35">
      <c r="A1" s="13" t="s">
        <v>2</v>
      </c>
      <c r="B1" t="s">
        <v>44</v>
      </c>
    </row>
    <row r="2" spans="1:5" x14ac:dyDescent="0.35">
      <c r="A2" s="13" t="s">
        <v>115</v>
      </c>
      <c r="B2" t="s">
        <v>116</v>
      </c>
    </row>
    <row r="4" spans="1:5" x14ac:dyDescent="0.35">
      <c r="A4" s="13" t="s">
        <v>45</v>
      </c>
      <c r="B4" t="s">
        <v>148</v>
      </c>
      <c r="C4" t="s">
        <v>137</v>
      </c>
      <c r="D4" t="s">
        <v>190</v>
      </c>
      <c r="E4" t="s">
        <v>242</v>
      </c>
    </row>
    <row r="5" spans="1:5" x14ac:dyDescent="0.35">
      <c r="A5" s="14" t="s">
        <v>17</v>
      </c>
      <c r="B5" s="130">
        <v>1.0575000000000001</v>
      </c>
      <c r="C5" s="130">
        <v>0.99250000000000005</v>
      </c>
      <c r="D5" s="130">
        <v>1.0185185185185184</v>
      </c>
      <c r="E5" s="130">
        <v>0.93500000000000005</v>
      </c>
    </row>
    <row r="6" spans="1:5" x14ac:dyDescent="0.35">
      <c r="A6" s="14" t="s">
        <v>7</v>
      </c>
      <c r="B6" s="130">
        <v>1.2426042884570767</v>
      </c>
      <c r="C6" s="130">
        <v>1.1801851851851852</v>
      </c>
      <c r="D6" s="130">
        <v>1.1861214982429773</v>
      </c>
      <c r="E6" s="130">
        <v>1.0055555555555555</v>
      </c>
    </row>
    <row r="7" spans="1:5" x14ac:dyDescent="0.35">
      <c r="A7" s="14" t="s">
        <v>15</v>
      </c>
      <c r="B7" s="130">
        <v>0.8927789046653144</v>
      </c>
      <c r="C7" s="130">
        <v>0.97833333333333339</v>
      </c>
      <c r="D7" s="130">
        <v>0.95076923076923081</v>
      </c>
      <c r="E7" s="130">
        <v>0.96500000000000008</v>
      </c>
    </row>
    <row r="8" spans="1:5" x14ac:dyDescent="0.35">
      <c r="A8" s="14" t="s">
        <v>11</v>
      </c>
      <c r="B8" s="130">
        <v>1.047197277011739</v>
      </c>
      <c r="C8" s="130">
        <v>0.96</v>
      </c>
      <c r="D8" s="130">
        <v>0.91725728550989771</v>
      </c>
      <c r="E8" s="130">
        <v>1.3633333333333333</v>
      </c>
    </row>
    <row r="9" spans="1:5" x14ac:dyDescent="0.35">
      <c r="A9" s="14" t="s">
        <v>9</v>
      </c>
      <c r="B9" s="130">
        <v>1.1925045575360196</v>
      </c>
      <c r="C9" s="130">
        <v>1.3946666666666667</v>
      </c>
      <c r="D9" s="130">
        <v>1.0952768879469628</v>
      </c>
      <c r="E9" s="130">
        <v>0.97866666666666668</v>
      </c>
    </row>
    <row r="10" spans="1:5" x14ac:dyDescent="0.35">
      <c r="A10" s="14" t="s">
        <v>13</v>
      </c>
      <c r="B10" s="130">
        <v>0.95903050075596497</v>
      </c>
      <c r="C10" s="130">
        <v>1.0016666666666667</v>
      </c>
      <c r="D10" s="130">
        <v>0.97370306319835442</v>
      </c>
      <c r="E10" s="130">
        <v>0.96888888888888891</v>
      </c>
    </row>
    <row r="11" spans="1:5" x14ac:dyDescent="0.35">
      <c r="A11" s="14" t="s">
        <v>46</v>
      </c>
      <c r="B11" s="130">
        <v>1.1222305378195492</v>
      </c>
      <c r="C11" s="130">
        <v>1.1451388888888889</v>
      </c>
      <c r="D11" s="130">
        <v>1.0540716612341874</v>
      </c>
      <c r="E11" s="130">
        <v>1.0534126984126984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D4F43-034D-4121-B92A-66297508EFFF}">
  <dimension ref="A1:S26"/>
  <sheetViews>
    <sheetView workbookViewId="0">
      <pane xSplit="4" ySplit="1" topLeftCell="O7" activePane="bottomRight" state="frozen"/>
      <selection pane="topRight" activeCell="E1" sqref="E1"/>
      <selection pane="bottomLeft" activeCell="A2" sqref="A2"/>
      <selection pane="bottomRight" activeCell="R23" sqref="R23:R24"/>
    </sheetView>
  </sheetViews>
  <sheetFormatPr defaultColWidth="27.7265625" defaultRowHeight="14.5" x14ac:dyDescent="0.35"/>
  <cols>
    <col min="1" max="1" width="6.08984375" bestFit="1" customWidth="1"/>
    <col min="2" max="2" width="13.81640625" bestFit="1" customWidth="1"/>
    <col min="3" max="3" width="12.08984375" bestFit="1" customWidth="1"/>
    <col min="4" max="4" width="18.54296875" bestFit="1" customWidth="1"/>
    <col min="5" max="5" width="8.08984375" bestFit="1" customWidth="1"/>
    <col min="6" max="6" width="25.7265625" bestFit="1" customWidth="1"/>
    <col min="7" max="7" width="31" customWidth="1"/>
    <col min="8" max="8" width="25.7265625" bestFit="1" customWidth="1"/>
    <col min="9" max="9" width="29.54296875" customWidth="1"/>
    <col min="10" max="10" width="25.7265625" bestFit="1" customWidth="1"/>
    <col min="11" max="11" width="30.6328125" customWidth="1"/>
    <col min="12" max="12" width="9.90625" bestFit="1" customWidth="1"/>
    <col min="13" max="13" width="25.7265625" bestFit="1" customWidth="1"/>
    <col min="14" max="14" width="31" customWidth="1"/>
    <col min="15" max="15" width="25.81640625" bestFit="1" customWidth="1"/>
    <col min="16" max="16" width="30.1796875" bestFit="1" customWidth="1"/>
    <col min="17" max="17" width="31" style="152" customWidth="1"/>
    <col min="18" max="18" width="30.1796875" style="152" bestFit="1" customWidth="1"/>
    <col min="19" max="19" width="11" bestFit="1" customWidth="1"/>
  </cols>
  <sheetData>
    <row r="1" spans="1:19" ht="48" x14ac:dyDescent="0.35">
      <c r="A1" s="129" t="s">
        <v>1</v>
      </c>
      <c r="B1" s="129" t="s">
        <v>2</v>
      </c>
      <c r="C1" s="129" t="s">
        <v>62</v>
      </c>
      <c r="D1" s="129" t="s">
        <v>3</v>
      </c>
      <c r="E1" s="129" t="s">
        <v>115</v>
      </c>
      <c r="F1" s="140" t="s">
        <v>164</v>
      </c>
      <c r="G1" s="140" t="s">
        <v>165</v>
      </c>
      <c r="H1" s="140" t="s">
        <v>166</v>
      </c>
      <c r="I1" s="140" t="s">
        <v>167</v>
      </c>
      <c r="J1" s="140" t="s">
        <v>169</v>
      </c>
      <c r="K1" s="140" t="s">
        <v>168</v>
      </c>
      <c r="L1" s="144" t="s">
        <v>175</v>
      </c>
      <c r="M1" s="140" t="s">
        <v>172</v>
      </c>
      <c r="N1" s="140" t="s">
        <v>173</v>
      </c>
      <c r="O1" s="140" t="s">
        <v>170</v>
      </c>
      <c r="P1" s="140" t="s">
        <v>171</v>
      </c>
      <c r="Q1" s="154" t="s">
        <v>205</v>
      </c>
      <c r="R1" s="154" t="s">
        <v>206</v>
      </c>
      <c r="S1" s="144" t="s">
        <v>174</v>
      </c>
    </row>
    <row r="2" spans="1:19" x14ac:dyDescent="0.35">
      <c r="A2" s="71" t="s">
        <v>4</v>
      </c>
      <c r="B2" s="72" t="s">
        <v>8</v>
      </c>
      <c r="C2" s="57" t="s">
        <v>7</v>
      </c>
      <c r="D2" s="73" t="s">
        <v>139</v>
      </c>
      <c r="E2" s="141" t="s">
        <v>116</v>
      </c>
      <c r="F2" s="142">
        <v>0</v>
      </c>
      <c r="G2" s="142">
        <v>0</v>
      </c>
      <c r="H2" s="142">
        <v>0</v>
      </c>
      <c r="I2" s="142">
        <v>0</v>
      </c>
      <c r="J2" s="142">
        <v>0</v>
      </c>
      <c r="K2" s="142">
        <v>0</v>
      </c>
      <c r="L2" s="142">
        <f>AVERAGE(F2:K2)</f>
        <v>0</v>
      </c>
      <c r="M2" s="142">
        <v>0</v>
      </c>
      <c r="N2" s="142">
        <v>0</v>
      </c>
      <c r="O2" s="142">
        <v>0</v>
      </c>
      <c r="P2" s="142">
        <v>0</v>
      </c>
      <c r="Q2" s="152">
        <v>0.1111111111111111</v>
      </c>
      <c r="S2" s="130">
        <f>AVERAGE(M2:R2)</f>
        <v>2.222222222222222E-2</v>
      </c>
    </row>
    <row r="3" spans="1:19" x14ac:dyDescent="0.35">
      <c r="A3" s="71" t="s">
        <v>4</v>
      </c>
      <c r="B3" s="72" t="s">
        <v>8</v>
      </c>
      <c r="C3" s="57" t="s">
        <v>7</v>
      </c>
      <c r="D3" s="73" t="s">
        <v>42</v>
      </c>
      <c r="E3" s="141" t="s">
        <v>116</v>
      </c>
      <c r="F3" s="142">
        <v>0</v>
      </c>
      <c r="G3" s="142">
        <v>0</v>
      </c>
      <c r="H3" s="142">
        <v>0</v>
      </c>
      <c r="I3" s="142">
        <v>0</v>
      </c>
      <c r="J3" s="142">
        <v>2.0408163265306121E-2</v>
      </c>
      <c r="K3" s="142">
        <v>2.1276595744680851E-2</v>
      </c>
      <c r="L3" s="142">
        <f t="shared" ref="L3:L25" si="0">AVERAGE(F3:K3)</f>
        <v>6.9474598349978283E-3</v>
      </c>
      <c r="M3" s="142">
        <v>0</v>
      </c>
      <c r="N3" s="142">
        <v>0</v>
      </c>
      <c r="O3" s="142">
        <v>0</v>
      </c>
      <c r="P3" s="142">
        <v>0</v>
      </c>
      <c r="Q3" s="152">
        <v>0</v>
      </c>
      <c r="S3" s="130">
        <f t="shared" ref="S3:S26" si="1">AVERAGE(M3:R3)</f>
        <v>0</v>
      </c>
    </row>
    <row r="4" spans="1:19" x14ac:dyDescent="0.35">
      <c r="A4" s="71" t="s">
        <v>4</v>
      </c>
      <c r="B4" s="72" t="s">
        <v>8</v>
      </c>
      <c r="C4" s="57" t="s">
        <v>9</v>
      </c>
      <c r="D4" s="72" t="s">
        <v>10</v>
      </c>
      <c r="E4" s="141" t="s">
        <v>116</v>
      </c>
      <c r="F4" s="142">
        <v>0</v>
      </c>
      <c r="G4" s="142">
        <v>0</v>
      </c>
      <c r="H4" s="142">
        <v>0</v>
      </c>
      <c r="I4" s="142">
        <v>0</v>
      </c>
      <c r="J4" s="142">
        <v>0</v>
      </c>
      <c r="K4" s="142">
        <v>0</v>
      </c>
      <c r="L4" s="142">
        <f t="shared" si="0"/>
        <v>0</v>
      </c>
      <c r="M4" s="142">
        <v>2.7027027027027029E-2</v>
      </c>
      <c r="N4" s="142">
        <v>2.9411764705882353E-2</v>
      </c>
      <c r="O4" s="142">
        <v>8.1081080999999999E-2</v>
      </c>
      <c r="P4" s="142">
        <v>2.2727272999999999E-2</v>
      </c>
      <c r="Q4" s="152">
        <v>2.0833333333333332E-2</v>
      </c>
      <c r="R4" s="152">
        <v>2.0618556701030927E-2</v>
      </c>
      <c r="S4" s="130">
        <f t="shared" si="1"/>
        <v>3.3616505961212274E-2</v>
      </c>
    </row>
    <row r="5" spans="1:19" x14ac:dyDescent="0.35">
      <c r="A5" s="71" t="s">
        <v>4</v>
      </c>
      <c r="B5" s="72" t="s">
        <v>8</v>
      </c>
      <c r="C5" s="57" t="s">
        <v>9</v>
      </c>
      <c r="D5" s="80" t="s">
        <v>12</v>
      </c>
      <c r="E5" s="141" t="s">
        <v>116</v>
      </c>
      <c r="F5" s="142">
        <v>0</v>
      </c>
      <c r="G5" s="142">
        <v>0</v>
      </c>
      <c r="H5" s="142">
        <v>0</v>
      </c>
      <c r="I5" s="142">
        <v>0</v>
      </c>
      <c r="J5" s="142">
        <v>0</v>
      </c>
      <c r="K5" s="142">
        <v>0</v>
      </c>
      <c r="L5" s="142">
        <f t="shared" si="0"/>
        <v>0</v>
      </c>
      <c r="M5" s="142">
        <v>0</v>
      </c>
      <c r="N5" s="142">
        <v>0</v>
      </c>
      <c r="O5" s="142">
        <v>0</v>
      </c>
      <c r="P5" s="142">
        <v>0</v>
      </c>
      <c r="Q5" s="152">
        <v>0</v>
      </c>
      <c r="S5" s="130">
        <f t="shared" si="1"/>
        <v>0</v>
      </c>
    </row>
    <row r="6" spans="1:19" x14ac:dyDescent="0.35">
      <c r="A6" s="71" t="s">
        <v>4</v>
      </c>
      <c r="B6" s="72" t="s">
        <v>8</v>
      </c>
      <c r="C6" s="57" t="s">
        <v>9</v>
      </c>
      <c r="D6" s="72" t="s">
        <v>14</v>
      </c>
      <c r="E6" s="141" t="s">
        <v>116</v>
      </c>
      <c r="F6" s="142">
        <v>0</v>
      </c>
      <c r="G6" s="142">
        <v>0</v>
      </c>
      <c r="H6" s="142">
        <v>0</v>
      </c>
      <c r="I6" s="142">
        <v>0</v>
      </c>
      <c r="J6" s="142">
        <v>0</v>
      </c>
      <c r="K6" s="142">
        <v>0</v>
      </c>
      <c r="L6" s="142">
        <f t="shared" si="0"/>
        <v>0</v>
      </c>
      <c r="M6" s="142">
        <v>0</v>
      </c>
      <c r="N6" s="142">
        <v>0</v>
      </c>
      <c r="O6" s="142">
        <v>0</v>
      </c>
      <c r="P6" s="142">
        <v>0</v>
      </c>
      <c r="Q6" s="152">
        <v>0</v>
      </c>
      <c r="R6" s="152">
        <v>0</v>
      </c>
      <c r="S6" s="130">
        <f t="shared" si="1"/>
        <v>0</v>
      </c>
    </row>
    <row r="7" spans="1:19" x14ac:dyDescent="0.35">
      <c r="A7" s="71" t="s">
        <v>4</v>
      </c>
      <c r="B7" s="72" t="s">
        <v>8</v>
      </c>
      <c r="C7" s="57" t="s">
        <v>9</v>
      </c>
      <c r="D7" s="72" t="s">
        <v>16</v>
      </c>
      <c r="E7" s="141" t="s">
        <v>116</v>
      </c>
      <c r="F7" s="142">
        <v>0</v>
      </c>
      <c r="G7" s="142">
        <v>0</v>
      </c>
      <c r="H7" s="142">
        <v>0</v>
      </c>
      <c r="I7" s="142">
        <v>0</v>
      </c>
      <c r="J7" s="142">
        <v>0</v>
      </c>
      <c r="K7" s="142">
        <v>0</v>
      </c>
      <c r="L7" s="142">
        <f t="shared" si="0"/>
        <v>0</v>
      </c>
      <c r="M7" s="142">
        <v>0</v>
      </c>
      <c r="N7" s="142">
        <v>0</v>
      </c>
      <c r="O7" s="142">
        <v>0</v>
      </c>
      <c r="P7" s="142">
        <v>0</v>
      </c>
      <c r="Q7" s="152">
        <v>1.4084507042253521E-2</v>
      </c>
      <c r="R7" s="152">
        <v>1.4925373134328358E-2</v>
      </c>
      <c r="S7" s="130">
        <f t="shared" si="1"/>
        <v>4.8349800294303132E-3</v>
      </c>
    </row>
    <row r="8" spans="1:19" x14ac:dyDescent="0.35">
      <c r="A8" s="71" t="s">
        <v>4</v>
      </c>
      <c r="B8" s="72" t="s">
        <v>8</v>
      </c>
      <c r="C8" s="57" t="s">
        <v>9</v>
      </c>
      <c r="D8" s="72" t="s">
        <v>18</v>
      </c>
      <c r="E8" s="141" t="s">
        <v>116</v>
      </c>
      <c r="F8" s="142">
        <v>0</v>
      </c>
      <c r="G8" s="142">
        <v>0</v>
      </c>
      <c r="H8" s="142">
        <v>0</v>
      </c>
      <c r="I8" s="142">
        <v>0</v>
      </c>
      <c r="J8" s="142">
        <v>0</v>
      </c>
      <c r="K8" s="142">
        <v>0</v>
      </c>
      <c r="L8" s="142">
        <f t="shared" si="0"/>
        <v>0</v>
      </c>
      <c r="M8" s="142">
        <v>0</v>
      </c>
      <c r="N8" s="142">
        <v>0</v>
      </c>
      <c r="O8" s="142">
        <v>0</v>
      </c>
      <c r="P8" s="142">
        <v>0</v>
      </c>
      <c r="Q8" s="152">
        <v>0</v>
      </c>
      <c r="R8" s="152">
        <v>0</v>
      </c>
      <c r="S8" s="130">
        <f>AVERAGE(M8:R8)</f>
        <v>0</v>
      </c>
    </row>
    <row r="9" spans="1:19" x14ac:dyDescent="0.35">
      <c r="A9" s="71" t="s">
        <v>4</v>
      </c>
      <c r="B9" s="72" t="s">
        <v>8</v>
      </c>
      <c r="C9" s="57" t="s">
        <v>7</v>
      </c>
      <c r="D9" s="94" t="s">
        <v>19</v>
      </c>
      <c r="E9" s="141" t="s">
        <v>116</v>
      </c>
      <c r="F9" s="142">
        <v>0.1</v>
      </c>
      <c r="G9" s="142">
        <v>3.4482758620689655E-2</v>
      </c>
      <c r="H9" s="142">
        <v>0</v>
      </c>
      <c r="I9" s="142">
        <v>0</v>
      </c>
      <c r="J9" s="142">
        <v>0</v>
      </c>
      <c r="K9" s="142">
        <v>0</v>
      </c>
      <c r="L9" s="142">
        <f t="shared" si="0"/>
        <v>2.2413793103448276E-2</v>
      </c>
      <c r="M9" s="142">
        <v>0</v>
      </c>
      <c r="N9" s="142">
        <v>0</v>
      </c>
      <c r="O9" s="142">
        <v>0</v>
      </c>
      <c r="P9" s="142">
        <v>0</v>
      </c>
      <c r="Q9" s="152">
        <v>0</v>
      </c>
      <c r="R9" s="152">
        <v>0</v>
      </c>
      <c r="S9" s="130">
        <f t="shared" si="1"/>
        <v>0</v>
      </c>
    </row>
    <row r="10" spans="1:19" x14ac:dyDescent="0.35">
      <c r="A10" s="71" t="s">
        <v>4</v>
      </c>
      <c r="B10" s="72" t="s">
        <v>8</v>
      </c>
      <c r="C10" s="57" t="s">
        <v>7</v>
      </c>
      <c r="D10" s="94" t="s">
        <v>63</v>
      </c>
      <c r="E10" s="141" t="s">
        <v>43</v>
      </c>
      <c r="F10" s="161"/>
      <c r="G10" s="161"/>
      <c r="H10" s="161"/>
      <c r="I10" s="161"/>
      <c r="J10" s="161"/>
      <c r="K10" s="161"/>
      <c r="L10" s="161"/>
      <c r="M10" s="161"/>
      <c r="N10" s="161"/>
      <c r="O10" s="161"/>
      <c r="P10" s="161"/>
      <c r="Q10" s="162"/>
      <c r="R10" s="162"/>
      <c r="S10" s="130"/>
    </row>
    <row r="11" spans="1:19" x14ac:dyDescent="0.35">
      <c r="A11" s="71" t="s">
        <v>4</v>
      </c>
      <c r="B11" s="72" t="s">
        <v>8</v>
      </c>
      <c r="C11" s="57" t="s">
        <v>7</v>
      </c>
      <c r="D11" s="94" t="s">
        <v>20</v>
      </c>
      <c r="E11" s="141" t="s">
        <v>116</v>
      </c>
      <c r="F11" s="142">
        <v>0</v>
      </c>
      <c r="G11" s="142">
        <v>0</v>
      </c>
      <c r="H11" s="142">
        <v>0</v>
      </c>
      <c r="I11" s="142">
        <v>0</v>
      </c>
      <c r="J11" s="142">
        <v>0</v>
      </c>
      <c r="K11" s="142">
        <v>0</v>
      </c>
      <c r="L11" s="142">
        <f t="shared" si="0"/>
        <v>0</v>
      </c>
      <c r="M11" s="142">
        <v>5.0847457627118647E-2</v>
      </c>
      <c r="N11" s="142">
        <v>0</v>
      </c>
      <c r="O11" s="142">
        <v>0</v>
      </c>
      <c r="P11" s="142">
        <v>0.04</v>
      </c>
      <c r="Q11" s="152">
        <v>9.8039215686274508E-2</v>
      </c>
      <c r="R11" s="152">
        <v>0.10526315789473684</v>
      </c>
      <c r="S11" s="130">
        <f t="shared" si="1"/>
        <v>4.9024971868021662E-2</v>
      </c>
    </row>
    <row r="12" spans="1:19" x14ac:dyDescent="0.35">
      <c r="A12" s="71" t="s">
        <v>4</v>
      </c>
      <c r="B12" s="72" t="s">
        <v>8</v>
      </c>
      <c r="C12" s="57" t="s">
        <v>7</v>
      </c>
      <c r="D12" s="94" t="s">
        <v>21</v>
      </c>
      <c r="E12" s="141" t="s">
        <v>116</v>
      </c>
      <c r="F12" s="142">
        <v>0</v>
      </c>
      <c r="G12" s="142">
        <v>0</v>
      </c>
      <c r="H12" s="142">
        <v>4.5454545454545456E-2</v>
      </c>
      <c r="I12" s="142">
        <v>0.12727272727272726</v>
      </c>
      <c r="J12" s="142">
        <v>0.14634146341463414</v>
      </c>
      <c r="K12" s="142">
        <v>8.5106382978723402E-2</v>
      </c>
      <c r="L12" s="142">
        <f t="shared" si="0"/>
        <v>6.7362519853438385E-2</v>
      </c>
      <c r="M12" s="142">
        <v>7.8947368421052627E-2</v>
      </c>
      <c r="N12" s="142">
        <v>5.2631578947368418E-2</v>
      </c>
      <c r="O12" s="142">
        <v>0.03</v>
      </c>
      <c r="P12" s="142">
        <v>0.02</v>
      </c>
      <c r="Q12" s="152">
        <v>2.0408163265306121E-2</v>
      </c>
      <c r="R12" s="152">
        <v>1.8518518518518517E-2</v>
      </c>
      <c r="S12" s="130">
        <f t="shared" si="1"/>
        <v>3.6750938192040943E-2</v>
      </c>
    </row>
    <row r="13" spans="1:19" x14ac:dyDescent="0.35">
      <c r="A13" s="71" t="s">
        <v>4</v>
      </c>
      <c r="B13" s="72" t="s">
        <v>8</v>
      </c>
      <c r="C13" s="57" t="s">
        <v>7</v>
      </c>
      <c r="D13" s="94" t="s">
        <v>22</v>
      </c>
      <c r="E13" s="141" t="s">
        <v>116</v>
      </c>
      <c r="F13" s="142">
        <v>0</v>
      </c>
      <c r="G13" s="142">
        <v>2.7027027027027029E-2</v>
      </c>
      <c r="H13" s="142">
        <v>5.5555555555555552E-2</v>
      </c>
      <c r="I13" s="142">
        <v>0</v>
      </c>
      <c r="J13" s="142">
        <v>0.15384615384615385</v>
      </c>
      <c r="K13" s="142">
        <v>0.10638297872340426</v>
      </c>
      <c r="L13" s="142">
        <f t="shared" si="0"/>
        <v>5.713528585869012E-2</v>
      </c>
      <c r="M13" s="142">
        <v>7.3170731707317069E-2</v>
      </c>
      <c r="N13" s="142">
        <v>5.4794520547945202E-2</v>
      </c>
      <c r="O13" s="142">
        <v>0</v>
      </c>
      <c r="P13" s="142">
        <v>0.06</v>
      </c>
      <c r="Q13" s="152">
        <v>0</v>
      </c>
      <c r="R13" s="152">
        <v>2.1739130434782608E-2</v>
      </c>
      <c r="S13" s="130">
        <f t="shared" si="1"/>
        <v>3.4950730448340815E-2</v>
      </c>
    </row>
    <row r="14" spans="1:19" x14ac:dyDescent="0.35">
      <c r="A14" s="71" t="s">
        <v>4</v>
      </c>
      <c r="B14" s="72" t="s">
        <v>23</v>
      </c>
      <c r="C14" s="58" t="s">
        <v>11</v>
      </c>
      <c r="D14" s="100" t="s">
        <v>24</v>
      </c>
      <c r="E14" s="141" t="s">
        <v>116</v>
      </c>
      <c r="F14" s="142">
        <v>0</v>
      </c>
      <c r="G14" s="142">
        <v>0</v>
      </c>
      <c r="H14" s="142">
        <v>0</v>
      </c>
      <c r="I14" s="142">
        <v>0</v>
      </c>
      <c r="J14" s="142">
        <v>1.9607843137254902E-2</v>
      </c>
      <c r="K14" s="142">
        <v>0</v>
      </c>
      <c r="L14" s="142">
        <f t="shared" si="0"/>
        <v>3.2679738562091504E-3</v>
      </c>
      <c r="M14" s="142">
        <v>0</v>
      </c>
      <c r="N14" s="142">
        <v>0</v>
      </c>
      <c r="O14" s="142">
        <v>0</v>
      </c>
      <c r="P14" s="142">
        <v>0</v>
      </c>
      <c r="Q14" s="152">
        <v>0</v>
      </c>
      <c r="S14" s="130">
        <f t="shared" si="1"/>
        <v>0</v>
      </c>
    </row>
    <row r="15" spans="1:19" x14ac:dyDescent="0.35">
      <c r="A15" s="71" t="s">
        <v>4</v>
      </c>
      <c r="B15" s="72" t="s">
        <v>23</v>
      </c>
      <c r="C15" s="58" t="s">
        <v>11</v>
      </c>
      <c r="D15" s="100" t="s">
        <v>25</v>
      </c>
      <c r="E15" s="141" t="s">
        <v>116</v>
      </c>
      <c r="F15" s="142">
        <v>0</v>
      </c>
      <c r="G15" s="142">
        <v>0</v>
      </c>
      <c r="H15" s="142">
        <v>0</v>
      </c>
      <c r="I15" s="142">
        <v>0</v>
      </c>
      <c r="J15" s="142">
        <v>0</v>
      </c>
      <c r="K15" s="142">
        <v>0</v>
      </c>
      <c r="L15" s="142">
        <f t="shared" si="0"/>
        <v>0</v>
      </c>
      <c r="M15" s="142">
        <v>0</v>
      </c>
      <c r="N15" s="142">
        <v>0</v>
      </c>
      <c r="O15" s="142">
        <v>0</v>
      </c>
      <c r="P15" s="142">
        <v>0</v>
      </c>
      <c r="Q15" s="152">
        <v>0</v>
      </c>
      <c r="S15" s="130">
        <f t="shared" si="1"/>
        <v>0</v>
      </c>
    </row>
    <row r="16" spans="1:19" x14ac:dyDescent="0.35">
      <c r="A16" s="71" t="s">
        <v>4</v>
      </c>
      <c r="B16" s="72" t="s">
        <v>23</v>
      </c>
      <c r="C16" s="58" t="s">
        <v>11</v>
      </c>
      <c r="D16" s="100" t="s">
        <v>26</v>
      </c>
      <c r="E16" s="141" t="s">
        <v>116</v>
      </c>
      <c r="F16" s="142">
        <v>0</v>
      </c>
      <c r="G16" s="142">
        <v>0</v>
      </c>
      <c r="H16" s="142">
        <v>0</v>
      </c>
      <c r="I16" s="142">
        <v>0</v>
      </c>
      <c r="J16" s="142">
        <v>0</v>
      </c>
      <c r="K16" s="142">
        <v>0</v>
      </c>
      <c r="L16" s="142">
        <f t="shared" si="0"/>
        <v>0</v>
      </c>
      <c r="M16" s="142">
        <v>0</v>
      </c>
      <c r="N16" s="142">
        <v>0</v>
      </c>
      <c r="O16" s="142">
        <v>0</v>
      </c>
      <c r="P16" s="142">
        <v>0</v>
      </c>
      <c r="Q16" s="152">
        <v>0</v>
      </c>
      <c r="S16" s="130">
        <f t="shared" si="1"/>
        <v>0</v>
      </c>
    </row>
    <row r="17" spans="1:19" x14ac:dyDescent="0.35">
      <c r="A17" s="71" t="s">
        <v>4</v>
      </c>
      <c r="B17" s="72" t="s">
        <v>23</v>
      </c>
      <c r="C17" s="58" t="s">
        <v>11</v>
      </c>
      <c r="D17" s="100" t="s">
        <v>27</v>
      </c>
      <c r="E17" s="141" t="s">
        <v>116</v>
      </c>
      <c r="F17" s="142">
        <v>4.5454545454545456E-2</v>
      </c>
      <c r="G17" s="142">
        <v>0</v>
      </c>
      <c r="H17" s="142">
        <v>0</v>
      </c>
      <c r="I17" s="142">
        <v>0</v>
      </c>
      <c r="J17" s="142">
        <v>0</v>
      </c>
      <c r="K17" s="142"/>
      <c r="L17" s="142">
        <f t="shared" si="0"/>
        <v>9.0909090909090905E-3</v>
      </c>
      <c r="M17" s="142">
        <v>0</v>
      </c>
      <c r="N17" s="142">
        <v>0</v>
      </c>
      <c r="O17" s="142">
        <v>0</v>
      </c>
      <c r="P17" s="146">
        <v>0</v>
      </c>
      <c r="S17" s="130">
        <f t="shared" si="1"/>
        <v>0</v>
      </c>
    </row>
    <row r="18" spans="1:19" x14ac:dyDescent="0.35">
      <c r="A18" s="71" t="s">
        <v>4</v>
      </c>
      <c r="B18" s="72" t="s">
        <v>29</v>
      </c>
      <c r="C18" s="59" t="s">
        <v>13</v>
      </c>
      <c r="D18" s="105" t="s">
        <v>30</v>
      </c>
      <c r="E18" s="141" t="s">
        <v>116</v>
      </c>
      <c r="F18" s="142">
        <v>0</v>
      </c>
      <c r="G18" s="142">
        <v>0</v>
      </c>
      <c r="H18" s="142">
        <v>0</v>
      </c>
      <c r="I18" s="142">
        <v>0</v>
      </c>
      <c r="J18" s="142">
        <v>0</v>
      </c>
      <c r="K18" s="142">
        <v>0</v>
      </c>
      <c r="L18" s="142">
        <f t="shared" si="0"/>
        <v>0</v>
      </c>
      <c r="M18" s="142">
        <v>0</v>
      </c>
      <c r="N18" s="142">
        <v>0</v>
      </c>
      <c r="O18" s="142">
        <v>0</v>
      </c>
      <c r="P18" s="142">
        <v>0</v>
      </c>
      <c r="Q18" s="152">
        <v>0</v>
      </c>
      <c r="R18" s="152">
        <v>0</v>
      </c>
      <c r="S18" s="130">
        <f t="shared" si="1"/>
        <v>0</v>
      </c>
    </row>
    <row r="19" spans="1:19" x14ac:dyDescent="0.35">
      <c r="A19" s="71" t="s">
        <v>4</v>
      </c>
      <c r="B19" s="72" t="s">
        <v>29</v>
      </c>
      <c r="C19" s="59" t="s">
        <v>13</v>
      </c>
      <c r="D19" s="105" t="s">
        <v>31</v>
      </c>
      <c r="E19" s="141" t="s">
        <v>116</v>
      </c>
      <c r="F19" s="142">
        <v>0</v>
      </c>
      <c r="G19" s="142">
        <v>0</v>
      </c>
      <c r="H19" s="142">
        <v>0</v>
      </c>
      <c r="I19" s="142">
        <v>0</v>
      </c>
      <c r="J19" s="142">
        <v>0</v>
      </c>
      <c r="K19" s="142">
        <v>0</v>
      </c>
      <c r="L19" s="142">
        <f t="shared" si="0"/>
        <v>0</v>
      </c>
      <c r="M19" s="142">
        <v>0</v>
      </c>
      <c r="N19" s="142">
        <v>0</v>
      </c>
      <c r="O19" s="142">
        <v>0</v>
      </c>
      <c r="P19" s="142">
        <v>0</v>
      </c>
      <c r="Q19" s="152">
        <v>0</v>
      </c>
      <c r="R19" s="152">
        <v>0</v>
      </c>
      <c r="S19" s="130">
        <f t="shared" si="1"/>
        <v>0</v>
      </c>
    </row>
    <row r="20" spans="1:19" x14ac:dyDescent="0.35">
      <c r="A20" s="71" t="s">
        <v>4</v>
      </c>
      <c r="B20" s="72" t="s">
        <v>29</v>
      </c>
      <c r="C20" s="59" t="s">
        <v>13</v>
      </c>
      <c r="D20" s="113" t="s">
        <v>32</v>
      </c>
      <c r="E20" s="141" t="s">
        <v>116</v>
      </c>
      <c r="F20" s="142">
        <v>0</v>
      </c>
      <c r="G20" s="142">
        <v>0</v>
      </c>
      <c r="H20" s="142">
        <v>0</v>
      </c>
      <c r="I20" s="142">
        <v>0</v>
      </c>
      <c r="J20" s="142">
        <v>0</v>
      </c>
      <c r="K20" s="142">
        <v>0</v>
      </c>
      <c r="L20" s="142">
        <f t="shared" si="0"/>
        <v>0</v>
      </c>
      <c r="M20" s="142">
        <v>0</v>
      </c>
      <c r="N20" s="142">
        <v>0</v>
      </c>
      <c r="O20" s="142">
        <v>0</v>
      </c>
      <c r="P20" s="142">
        <v>0</v>
      </c>
      <c r="Q20" s="152">
        <v>0</v>
      </c>
      <c r="R20" s="152">
        <v>0</v>
      </c>
      <c r="S20" s="130">
        <f t="shared" si="1"/>
        <v>0</v>
      </c>
    </row>
    <row r="21" spans="1:19" x14ac:dyDescent="0.35">
      <c r="A21" s="71" t="s">
        <v>4</v>
      </c>
      <c r="B21" s="72" t="s">
        <v>29</v>
      </c>
      <c r="C21" s="57" t="s">
        <v>15</v>
      </c>
      <c r="D21" s="100" t="s">
        <v>33</v>
      </c>
      <c r="E21" s="141" t="s">
        <v>116</v>
      </c>
      <c r="F21" s="142">
        <v>0</v>
      </c>
      <c r="G21" s="142">
        <v>0</v>
      </c>
      <c r="H21" s="142">
        <v>0</v>
      </c>
      <c r="I21" s="142">
        <v>0</v>
      </c>
      <c r="J21" s="142">
        <v>0</v>
      </c>
      <c r="K21" s="142">
        <v>0</v>
      </c>
      <c r="L21" s="142">
        <f t="shared" si="0"/>
        <v>0</v>
      </c>
      <c r="M21" s="142">
        <v>0</v>
      </c>
      <c r="N21" s="142">
        <v>0</v>
      </c>
      <c r="O21" s="142"/>
      <c r="P21" s="142"/>
      <c r="S21" s="130">
        <f t="shared" si="1"/>
        <v>0</v>
      </c>
    </row>
    <row r="22" spans="1:19" x14ac:dyDescent="0.35">
      <c r="A22" s="120" t="s">
        <v>4</v>
      </c>
      <c r="B22" s="72" t="s">
        <v>8</v>
      </c>
      <c r="C22" s="57" t="s">
        <v>7</v>
      </c>
      <c r="D22" s="121" t="s">
        <v>64</v>
      </c>
      <c r="E22" s="141" t="s">
        <v>43</v>
      </c>
      <c r="F22" s="161"/>
      <c r="G22" s="161"/>
      <c r="H22" s="161"/>
      <c r="I22" s="161"/>
      <c r="J22" s="161"/>
      <c r="K22" s="161"/>
      <c r="L22" s="161"/>
      <c r="M22" s="161"/>
      <c r="N22" s="161"/>
      <c r="O22" s="161"/>
      <c r="P22" s="161"/>
      <c r="Q22" s="162"/>
      <c r="R22" s="162"/>
      <c r="S22" s="130"/>
    </row>
    <row r="23" spans="1:19" x14ac:dyDescent="0.35">
      <c r="A23" s="5" t="s">
        <v>4</v>
      </c>
      <c r="B23" s="72" t="s">
        <v>29</v>
      </c>
      <c r="C23" s="60" t="s">
        <v>17</v>
      </c>
      <c r="D23" s="4" t="s">
        <v>34</v>
      </c>
      <c r="E23" s="141" t="s">
        <v>116</v>
      </c>
      <c r="F23" s="142">
        <v>0</v>
      </c>
      <c r="G23" s="142">
        <v>0</v>
      </c>
      <c r="H23" s="142">
        <v>0</v>
      </c>
      <c r="I23" s="142">
        <v>0</v>
      </c>
      <c r="J23" s="142">
        <v>0</v>
      </c>
      <c r="K23" s="142">
        <v>0</v>
      </c>
      <c r="L23" s="142">
        <f t="shared" si="0"/>
        <v>0</v>
      </c>
      <c r="M23" s="142">
        <v>0</v>
      </c>
      <c r="N23" s="142">
        <v>0</v>
      </c>
      <c r="O23" s="142">
        <v>0</v>
      </c>
      <c r="P23" s="142">
        <v>0</v>
      </c>
      <c r="Q23" s="152">
        <v>0</v>
      </c>
      <c r="R23" s="152">
        <v>0</v>
      </c>
      <c r="S23" s="130">
        <f t="shared" si="1"/>
        <v>0</v>
      </c>
    </row>
    <row r="24" spans="1:19" x14ac:dyDescent="0.35">
      <c r="A24" s="5" t="s">
        <v>4</v>
      </c>
      <c r="B24" s="72" t="s">
        <v>29</v>
      </c>
      <c r="C24" s="60" t="s">
        <v>17</v>
      </c>
      <c r="D24" s="4" t="s">
        <v>35</v>
      </c>
      <c r="E24" s="141" t="s">
        <v>116</v>
      </c>
      <c r="F24" s="142">
        <v>0</v>
      </c>
      <c r="G24" s="142">
        <v>0</v>
      </c>
      <c r="H24" s="142">
        <v>0</v>
      </c>
      <c r="I24" s="142">
        <v>0</v>
      </c>
      <c r="J24" s="142">
        <v>0</v>
      </c>
      <c r="K24" s="142">
        <v>0</v>
      </c>
      <c r="L24" s="142">
        <f t="shared" si="0"/>
        <v>0</v>
      </c>
      <c r="M24" s="142">
        <v>0</v>
      </c>
      <c r="N24" s="142">
        <v>0</v>
      </c>
      <c r="O24" s="142">
        <v>0</v>
      </c>
      <c r="P24" s="142">
        <v>0</v>
      </c>
      <c r="Q24" s="152">
        <v>0</v>
      </c>
      <c r="R24" s="152">
        <v>0</v>
      </c>
      <c r="S24" s="130">
        <f t="shared" si="1"/>
        <v>0</v>
      </c>
    </row>
    <row r="25" spans="1:19" x14ac:dyDescent="0.35">
      <c r="A25" s="5" t="s">
        <v>4</v>
      </c>
      <c r="B25" s="72" t="s">
        <v>29</v>
      </c>
      <c r="C25" s="60" t="s">
        <v>17</v>
      </c>
      <c r="D25" s="4" t="s">
        <v>36</v>
      </c>
      <c r="E25" s="141" t="s">
        <v>116</v>
      </c>
      <c r="F25" s="142"/>
      <c r="G25" s="142"/>
      <c r="H25" s="142"/>
      <c r="I25" s="142"/>
      <c r="J25" s="142">
        <v>0</v>
      </c>
      <c r="K25" s="142">
        <v>0</v>
      </c>
      <c r="L25" s="142">
        <f t="shared" si="0"/>
        <v>0</v>
      </c>
      <c r="M25" s="142">
        <v>0</v>
      </c>
      <c r="N25" s="142"/>
      <c r="O25" s="142"/>
      <c r="P25" s="142"/>
      <c r="S25" s="130">
        <f t="shared" si="1"/>
        <v>0</v>
      </c>
    </row>
    <row r="26" spans="1:19" x14ac:dyDescent="0.35">
      <c r="A26" s="71" t="s">
        <v>4</v>
      </c>
      <c r="B26" s="72" t="s">
        <v>23</v>
      </c>
      <c r="C26" s="58" t="s">
        <v>11</v>
      </c>
      <c r="D26" s="100" t="s">
        <v>144</v>
      </c>
      <c r="E26" s="141" t="s">
        <v>116</v>
      </c>
      <c r="F26" s="142"/>
      <c r="G26" s="142"/>
      <c r="H26" s="142"/>
      <c r="I26" s="142"/>
      <c r="J26" s="142"/>
      <c r="K26" s="142"/>
      <c r="L26" s="142"/>
      <c r="M26" s="142">
        <v>0</v>
      </c>
      <c r="N26" s="142">
        <v>0</v>
      </c>
      <c r="O26" s="142">
        <v>0</v>
      </c>
      <c r="P26" s="142">
        <v>0</v>
      </c>
      <c r="Q26" s="152">
        <v>0</v>
      </c>
      <c r="S26" s="130">
        <f t="shared" si="1"/>
        <v>0</v>
      </c>
    </row>
  </sheetData>
  <autoFilter ref="A1:S26" xr:uid="{991D4F43-034D-4121-B92A-66297508EFFF}"/>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386DA-9D8F-40CE-9ECA-654D197A97DB}">
  <dimension ref="A1:C7"/>
  <sheetViews>
    <sheetView workbookViewId="0">
      <selection activeCell="C5" sqref="C5"/>
    </sheetView>
  </sheetViews>
  <sheetFormatPr defaultRowHeight="14.5" x14ac:dyDescent="0.35"/>
  <cols>
    <col min="1" max="1" width="17.90625" bestFit="1" customWidth="1"/>
    <col min="2" max="2" width="43.36328125" bestFit="1" customWidth="1"/>
    <col min="3" max="3" width="44.36328125" bestFit="1" customWidth="1"/>
  </cols>
  <sheetData>
    <row r="1" spans="1:3" x14ac:dyDescent="0.35">
      <c r="A1" s="13" t="s">
        <v>115</v>
      </c>
      <c r="B1" t="s">
        <v>116</v>
      </c>
    </row>
    <row r="3" spans="1:3" x14ac:dyDescent="0.35">
      <c r="A3" s="13" t="s">
        <v>45</v>
      </c>
      <c r="B3" t="s">
        <v>191</v>
      </c>
      <c r="C3" t="s">
        <v>192</v>
      </c>
    </row>
    <row r="4" spans="1:3" x14ac:dyDescent="0.35">
      <c r="A4" s="14" t="s">
        <v>8</v>
      </c>
      <c r="B4" s="153">
        <v>1.3987187150052238E-2</v>
      </c>
      <c r="C4" s="153">
        <v>1.6490940792842565E-2</v>
      </c>
    </row>
    <row r="5" spans="1:3" x14ac:dyDescent="0.35">
      <c r="A5" s="14" t="s">
        <v>23</v>
      </c>
      <c r="B5" s="153">
        <v>3.0897207367795603E-3</v>
      </c>
      <c r="C5" s="153">
        <v>0</v>
      </c>
    </row>
    <row r="6" spans="1:3" x14ac:dyDescent="0.35">
      <c r="A6" s="14" t="s">
        <v>29</v>
      </c>
      <c r="B6" s="153">
        <v>0</v>
      </c>
      <c r="C6" s="153">
        <v>0</v>
      </c>
    </row>
    <row r="7" spans="1:3" x14ac:dyDescent="0.35">
      <c r="A7" s="14" t="s">
        <v>46</v>
      </c>
      <c r="B7" s="153">
        <v>7.555360981713311E-3</v>
      </c>
      <c r="C7" s="153">
        <v>7.8869716835334013E-3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8FD65-4B7C-4752-BBBA-C636145BAB03}">
  <dimension ref="A1:S32"/>
  <sheetViews>
    <sheetView workbookViewId="0">
      <pane xSplit="4" ySplit="1" topLeftCell="K10" activePane="bottomRight" state="frozen"/>
      <selection pane="topRight" activeCell="E1" sqref="E1"/>
      <selection pane="bottomLeft" activeCell="A2" sqref="A2"/>
      <selection pane="bottomRight" activeCell="R31" sqref="R31"/>
    </sheetView>
  </sheetViews>
  <sheetFormatPr defaultColWidth="27.7265625" defaultRowHeight="14.5" x14ac:dyDescent="0.35"/>
  <cols>
    <col min="1" max="1" width="6.08984375" bestFit="1" customWidth="1"/>
    <col min="2" max="2" width="13.81640625" bestFit="1" customWidth="1"/>
    <col min="3" max="3" width="12.08984375" bestFit="1" customWidth="1"/>
    <col min="4" max="4" width="18.54296875" bestFit="1" customWidth="1"/>
    <col min="5" max="5" width="8.08984375" bestFit="1" customWidth="1"/>
    <col min="6" max="11" width="11.26953125" bestFit="1" customWidth="1"/>
    <col min="12" max="12" width="17.08984375" customWidth="1"/>
    <col min="13" max="15" width="11.26953125" bestFit="1" customWidth="1"/>
    <col min="16" max="18" width="12.08984375" bestFit="1" customWidth="1"/>
    <col min="19" max="19" width="17.08984375" customWidth="1"/>
  </cols>
  <sheetData>
    <row r="1" spans="1:19" ht="24" x14ac:dyDescent="0.35">
      <c r="A1" s="129" t="s">
        <v>1</v>
      </c>
      <c r="B1" s="129" t="s">
        <v>2</v>
      </c>
      <c r="C1" s="129" t="s">
        <v>62</v>
      </c>
      <c r="D1" s="129" t="s">
        <v>3</v>
      </c>
      <c r="E1" s="129" t="s">
        <v>115</v>
      </c>
      <c r="F1" s="145" t="s">
        <v>176</v>
      </c>
      <c r="G1" s="145" t="s">
        <v>177</v>
      </c>
      <c r="H1" s="145" t="s">
        <v>178</v>
      </c>
      <c r="I1" s="145" t="s">
        <v>179</v>
      </c>
      <c r="J1" s="145" t="s">
        <v>180</v>
      </c>
      <c r="K1" s="145" t="s">
        <v>181</v>
      </c>
      <c r="L1" s="144" t="s">
        <v>182</v>
      </c>
      <c r="M1" s="145" t="s">
        <v>183</v>
      </c>
      <c r="N1" s="145" t="s">
        <v>184</v>
      </c>
      <c r="O1" s="145" t="s">
        <v>186</v>
      </c>
      <c r="P1" s="145" t="s">
        <v>187</v>
      </c>
      <c r="Q1" s="145" t="s">
        <v>188</v>
      </c>
      <c r="R1" s="145" t="s">
        <v>189</v>
      </c>
      <c r="S1" s="144" t="s">
        <v>185</v>
      </c>
    </row>
    <row r="2" spans="1:19" x14ac:dyDescent="0.35">
      <c r="A2" s="71" t="s">
        <v>4</v>
      </c>
      <c r="B2" s="72" t="s">
        <v>8</v>
      </c>
      <c r="C2" s="57" t="s">
        <v>7</v>
      </c>
      <c r="D2" s="73" t="s">
        <v>139</v>
      </c>
      <c r="E2" s="141" t="s">
        <v>116</v>
      </c>
      <c r="F2" s="138">
        <v>3</v>
      </c>
      <c r="G2" s="138">
        <v>11</v>
      </c>
      <c r="H2" s="138">
        <v>2</v>
      </c>
      <c r="I2" s="138">
        <v>0</v>
      </c>
      <c r="J2" s="138">
        <v>2</v>
      </c>
      <c r="K2" s="138">
        <v>0</v>
      </c>
      <c r="L2" s="138">
        <f>IFERROR(AVERAGE(F2:K2),0)</f>
        <v>3</v>
      </c>
      <c r="M2" s="138">
        <v>4</v>
      </c>
      <c r="N2" s="138">
        <v>5</v>
      </c>
      <c r="O2" s="138">
        <v>3</v>
      </c>
      <c r="P2" s="138">
        <v>4</v>
      </c>
      <c r="Q2" s="138">
        <v>6</v>
      </c>
      <c r="R2" s="138"/>
      <c r="S2" s="138">
        <f>IFERROR(AVERAGE(M2:R2),0)</f>
        <v>4.4000000000000004</v>
      </c>
    </row>
    <row r="3" spans="1:19" x14ac:dyDescent="0.35">
      <c r="A3" s="71" t="s">
        <v>4</v>
      </c>
      <c r="B3" s="72" t="s">
        <v>8</v>
      </c>
      <c r="C3" s="57" t="s">
        <v>7</v>
      </c>
      <c r="D3" s="73" t="s">
        <v>42</v>
      </c>
      <c r="E3" s="141" t="s">
        <v>116</v>
      </c>
      <c r="F3" s="138">
        <v>0</v>
      </c>
      <c r="G3" s="138">
        <v>0</v>
      </c>
      <c r="H3" s="138">
        <v>0</v>
      </c>
      <c r="I3" s="138">
        <v>0</v>
      </c>
      <c r="J3" s="138">
        <v>1</v>
      </c>
      <c r="K3" s="138">
        <v>1</v>
      </c>
      <c r="L3" s="138">
        <f t="shared" ref="L3:L25" si="0">IFERROR(AVERAGE(F3:K3),0)</f>
        <v>0.33333333333333331</v>
      </c>
      <c r="M3" s="138">
        <v>0</v>
      </c>
      <c r="N3" s="138">
        <v>0</v>
      </c>
      <c r="O3" s="138">
        <v>0</v>
      </c>
      <c r="P3" s="138">
        <v>0</v>
      </c>
      <c r="Q3" s="138">
        <v>0</v>
      </c>
      <c r="R3" s="138"/>
      <c r="S3" s="138">
        <f t="shared" ref="S3:S28" si="1">IFERROR(AVERAGE(M3:R3),0)</f>
        <v>0</v>
      </c>
    </row>
    <row r="4" spans="1:19" x14ac:dyDescent="0.35">
      <c r="A4" s="71" t="s">
        <v>4</v>
      </c>
      <c r="B4" s="72" t="s">
        <v>8</v>
      </c>
      <c r="C4" s="57" t="s">
        <v>9</v>
      </c>
      <c r="D4" s="72" t="s">
        <v>10</v>
      </c>
      <c r="E4" s="141" t="s">
        <v>116</v>
      </c>
      <c r="F4" s="138">
        <v>27</v>
      </c>
      <c r="G4" s="138">
        <v>9</v>
      </c>
      <c r="H4" s="138">
        <v>19</v>
      </c>
      <c r="I4" s="138">
        <v>15</v>
      </c>
      <c r="J4" s="138">
        <v>31</v>
      </c>
      <c r="K4" s="138">
        <v>13</v>
      </c>
      <c r="L4" s="138">
        <f t="shared" si="0"/>
        <v>19</v>
      </c>
      <c r="M4" s="138">
        <v>3</v>
      </c>
      <c r="N4" s="138">
        <v>2</v>
      </c>
      <c r="O4" s="138">
        <v>7</v>
      </c>
      <c r="P4" s="138">
        <v>10</v>
      </c>
      <c r="Q4" s="138">
        <v>16</v>
      </c>
      <c r="R4" s="138">
        <v>11</v>
      </c>
      <c r="S4" s="138">
        <f t="shared" si="1"/>
        <v>8.1666666666666661</v>
      </c>
    </row>
    <row r="5" spans="1:19" x14ac:dyDescent="0.35">
      <c r="A5" s="71" t="s">
        <v>4</v>
      </c>
      <c r="B5" s="72" t="s">
        <v>8</v>
      </c>
      <c r="C5" s="57" t="s">
        <v>9</v>
      </c>
      <c r="D5" s="80" t="s">
        <v>12</v>
      </c>
      <c r="E5" s="141" t="s">
        <v>116</v>
      </c>
      <c r="F5" s="138"/>
      <c r="G5" s="138"/>
      <c r="H5" s="138"/>
      <c r="I5" s="138"/>
      <c r="J5" s="138">
        <v>0</v>
      </c>
      <c r="K5" s="138">
        <v>0</v>
      </c>
      <c r="L5" s="138">
        <f t="shared" si="0"/>
        <v>0</v>
      </c>
      <c r="M5" s="138">
        <f t="shared" ref="M5" si="2">IFERROR(AVERAGE(G5:L5),0)</f>
        <v>0</v>
      </c>
      <c r="N5" s="138">
        <f t="shared" ref="N5" si="3">IFERROR(AVERAGE(H5:M5),0)</f>
        <v>0</v>
      </c>
      <c r="O5" s="138">
        <f t="shared" ref="O5" si="4">IFERROR(AVERAGE(I5:N5),0)</f>
        <v>0</v>
      </c>
      <c r="P5" s="138">
        <f t="shared" ref="P5" si="5">IFERROR(AVERAGE(J5:O5),0)</f>
        <v>0</v>
      </c>
      <c r="Q5" s="138">
        <f t="shared" ref="Q5" si="6">IFERROR(AVERAGE(K5:P5),0)</f>
        <v>0</v>
      </c>
      <c r="R5" s="138"/>
      <c r="S5" s="138">
        <f t="shared" si="1"/>
        <v>0</v>
      </c>
    </row>
    <row r="6" spans="1:19" x14ac:dyDescent="0.35">
      <c r="A6" s="71" t="s">
        <v>4</v>
      </c>
      <c r="B6" s="72" t="s">
        <v>8</v>
      </c>
      <c r="C6" s="57" t="s">
        <v>9</v>
      </c>
      <c r="D6" s="72" t="s">
        <v>14</v>
      </c>
      <c r="E6" s="141" t="s">
        <v>116</v>
      </c>
      <c r="F6" s="138">
        <v>2</v>
      </c>
      <c r="G6" s="138">
        <v>0</v>
      </c>
      <c r="H6" s="138">
        <v>3</v>
      </c>
      <c r="I6" s="138">
        <v>1</v>
      </c>
      <c r="J6" s="138">
        <v>0</v>
      </c>
      <c r="K6" s="138">
        <v>0</v>
      </c>
      <c r="L6" s="138">
        <f t="shared" si="0"/>
        <v>1</v>
      </c>
      <c r="M6" s="138">
        <v>0</v>
      </c>
      <c r="N6" s="138">
        <v>0</v>
      </c>
      <c r="O6" s="138">
        <v>0</v>
      </c>
      <c r="P6" s="138">
        <v>0</v>
      </c>
      <c r="Q6" s="138">
        <v>0</v>
      </c>
      <c r="R6" s="138">
        <v>1</v>
      </c>
      <c r="S6" s="138">
        <f t="shared" si="1"/>
        <v>0.16666666666666666</v>
      </c>
    </row>
    <row r="7" spans="1:19" x14ac:dyDescent="0.35">
      <c r="A7" s="71" t="s">
        <v>4</v>
      </c>
      <c r="B7" s="72" t="s">
        <v>8</v>
      </c>
      <c r="C7" s="57" t="s">
        <v>9</v>
      </c>
      <c r="D7" s="72" t="s">
        <v>16</v>
      </c>
      <c r="E7" s="141" t="s">
        <v>116</v>
      </c>
      <c r="F7" s="138">
        <v>2</v>
      </c>
      <c r="G7" s="138">
        <v>0</v>
      </c>
      <c r="H7" s="138">
        <v>1</v>
      </c>
      <c r="I7" s="138">
        <v>3</v>
      </c>
      <c r="J7" s="138">
        <v>0</v>
      </c>
      <c r="K7" s="138">
        <v>0</v>
      </c>
      <c r="L7" s="138">
        <f t="shared" si="0"/>
        <v>1</v>
      </c>
      <c r="M7" s="138">
        <v>0</v>
      </c>
      <c r="N7" s="138">
        <v>0</v>
      </c>
      <c r="O7" s="138">
        <v>1</v>
      </c>
      <c r="P7" s="138">
        <v>2</v>
      </c>
      <c r="Q7" s="138">
        <v>3</v>
      </c>
      <c r="R7" s="138">
        <v>1</v>
      </c>
      <c r="S7" s="138">
        <f t="shared" si="1"/>
        <v>1.1666666666666667</v>
      </c>
    </row>
    <row r="8" spans="1:19" x14ac:dyDescent="0.35">
      <c r="A8" s="71" t="s">
        <v>4</v>
      </c>
      <c r="B8" s="72" t="s">
        <v>8</v>
      </c>
      <c r="C8" s="57" t="s">
        <v>9</v>
      </c>
      <c r="D8" s="72" t="s">
        <v>18</v>
      </c>
      <c r="E8" s="141" t="s">
        <v>116</v>
      </c>
      <c r="F8" s="138">
        <v>0</v>
      </c>
      <c r="G8" s="138">
        <v>0</v>
      </c>
      <c r="H8" s="138">
        <v>0</v>
      </c>
      <c r="I8" s="138">
        <v>0</v>
      </c>
      <c r="J8" s="138">
        <v>1</v>
      </c>
      <c r="K8" s="138">
        <v>1</v>
      </c>
      <c r="L8" s="138">
        <f t="shared" si="0"/>
        <v>0.33333333333333331</v>
      </c>
      <c r="M8" s="138">
        <v>2</v>
      </c>
      <c r="N8" s="138">
        <v>0</v>
      </c>
      <c r="O8" s="138">
        <v>2</v>
      </c>
      <c r="P8" s="138">
        <v>0</v>
      </c>
      <c r="Q8" s="138">
        <v>0</v>
      </c>
      <c r="R8" s="138">
        <v>0</v>
      </c>
      <c r="S8" s="138">
        <f t="shared" si="1"/>
        <v>0.66666666666666663</v>
      </c>
    </row>
    <row r="9" spans="1:19" x14ac:dyDescent="0.35">
      <c r="A9" s="71" t="s">
        <v>4</v>
      </c>
      <c r="B9" s="72" t="s">
        <v>8</v>
      </c>
      <c r="C9" s="57" t="s">
        <v>7</v>
      </c>
      <c r="D9" s="94" t="s">
        <v>19</v>
      </c>
      <c r="E9" s="141" t="s">
        <v>116</v>
      </c>
      <c r="F9" s="138">
        <v>5</v>
      </c>
      <c r="G9" s="138">
        <v>7</v>
      </c>
      <c r="H9" s="138">
        <v>9</v>
      </c>
      <c r="I9" s="138">
        <v>24</v>
      </c>
      <c r="J9" s="138">
        <v>28</v>
      </c>
      <c r="K9" s="138">
        <v>81</v>
      </c>
      <c r="L9" s="138">
        <f t="shared" si="0"/>
        <v>25.666666666666668</v>
      </c>
      <c r="M9" s="138">
        <v>22</v>
      </c>
      <c r="N9" s="138">
        <v>7</v>
      </c>
      <c r="O9" s="138">
        <v>3</v>
      </c>
      <c r="P9" s="138">
        <v>8</v>
      </c>
      <c r="Q9" s="138">
        <v>8</v>
      </c>
      <c r="R9" s="138">
        <v>8</v>
      </c>
      <c r="S9" s="138">
        <f t="shared" si="1"/>
        <v>9.3333333333333339</v>
      </c>
    </row>
    <row r="10" spans="1:19" x14ac:dyDescent="0.35">
      <c r="A10" s="71" t="s">
        <v>4</v>
      </c>
      <c r="B10" s="72" t="s">
        <v>8</v>
      </c>
      <c r="C10" s="57" t="s">
        <v>7</v>
      </c>
      <c r="D10" s="94" t="s">
        <v>63</v>
      </c>
      <c r="E10" s="141" t="s">
        <v>43</v>
      </c>
      <c r="F10" s="138"/>
      <c r="G10" s="138"/>
      <c r="H10" s="138"/>
      <c r="I10" s="138"/>
      <c r="J10" s="138"/>
      <c r="K10" s="138"/>
      <c r="L10" s="138">
        <f t="shared" si="0"/>
        <v>0</v>
      </c>
      <c r="M10" s="138"/>
      <c r="N10" s="138"/>
      <c r="O10" s="138"/>
      <c r="P10" s="138"/>
      <c r="Q10" s="138"/>
      <c r="R10" s="138"/>
      <c r="S10" s="138">
        <f t="shared" si="1"/>
        <v>0</v>
      </c>
    </row>
    <row r="11" spans="1:19" x14ac:dyDescent="0.35">
      <c r="A11" s="71" t="s">
        <v>4</v>
      </c>
      <c r="B11" s="72" t="s">
        <v>8</v>
      </c>
      <c r="C11" s="57" t="s">
        <v>7</v>
      </c>
      <c r="D11" s="94" t="s">
        <v>20</v>
      </c>
      <c r="E11" s="141" t="s">
        <v>116</v>
      </c>
      <c r="F11" s="138">
        <v>4</v>
      </c>
      <c r="G11" s="138">
        <v>2</v>
      </c>
      <c r="H11" s="138">
        <v>12</v>
      </c>
      <c r="I11" s="138">
        <v>5</v>
      </c>
      <c r="J11" s="138">
        <v>5</v>
      </c>
      <c r="K11" s="138">
        <v>19</v>
      </c>
      <c r="L11" s="138">
        <f t="shared" si="0"/>
        <v>7.833333333333333</v>
      </c>
      <c r="M11" s="138">
        <v>17</v>
      </c>
      <c r="N11" s="138">
        <v>8</v>
      </c>
      <c r="O11" s="138">
        <v>14</v>
      </c>
      <c r="P11" s="138">
        <v>12</v>
      </c>
      <c r="Q11" s="138">
        <v>33</v>
      </c>
      <c r="R11" s="138">
        <v>19</v>
      </c>
      <c r="S11" s="138">
        <f t="shared" si="1"/>
        <v>17.166666666666668</v>
      </c>
    </row>
    <row r="12" spans="1:19" x14ac:dyDescent="0.35">
      <c r="A12" s="71" t="s">
        <v>4</v>
      </c>
      <c r="B12" s="72" t="s">
        <v>8</v>
      </c>
      <c r="C12" s="57" t="s">
        <v>7</v>
      </c>
      <c r="D12" s="94" t="s">
        <v>21</v>
      </c>
      <c r="E12" s="141" t="s">
        <v>116</v>
      </c>
      <c r="F12" s="138">
        <v>6</v>
      </c>
      <c r="G12" s="138">
        <v>18</v>
      </c>
      <c r="H12" s="138">
        <v>19</v>
      </c>
      <c r="I12" s="138">
        <v>21</v>
      </c>
      <c r="J12" s="138">
        <v>18</v>
      </c>
      <c r="K12" s="138">
        <v>9</v>
      </c>
      <c r="L12" s="138">
        <f t="shared" si="0"/>
        <v>15.166666666666666</v>
      </c>
      <c r="M12" s="138">
        <v>10</v>
      </c>
      <c r="N12" s="138">
        <v>13</v>
      </c>
      <c r="O12" s="138">
        <v>9</v>
      </c>
      <c r="P12" s="138">
        <v>15</v>
      </c>
      <c r="Q12" s="138">
        <v>11</v>
      </c>
      <c r="R12" s="138">
        <v>15</v>
      </c>
      <c r="S12" s="138">
        <f t="shared" si="1"/>
        <v>12.166666666666666</v>
      </c>
    </row>
    <row r="13" spans="1:19" x14ac:dyDescent="0.35">
      <c r="A13" s="71" t="s">
        <v>4</v>
      </c>
      <c r="B13" s="72" t="s">
        <v>8</v>
      </c>
      <c r="C13" s="57" t="s">
        <v>7</v>
      </c>
      <c r="D13" s="94" t="s">
        <v>22</v>
      </c>
      <c r="E13" s="141" t="s">
        <v>116</v>
      </c>
      <c r="F13" s="138">
        <v>3</v>
      </c>
      <c r="G13" s="138">
        <v>4</v>
      </c>
      <c r="H13" s="138">
        <v>10</v>
      </c>
      <c r="I13" s="138">
        <v>8</v>
      </c>
      <c r="J13" s="138">
        <v>9</v>
      </c>
      <c r="K13" s="138">
        <v>14</v>
      </c>
      <c r="L13" s="138">
        <f t="shared" si="0"/>
        <v>8</v>
      </c>
      <c r="M13" s="138">
        <v>8</v>
      </c>
      <c r="N13" s="138">
        <v>9</v>
      </c>
      <c r="O13" s="138">
        <v>3</v>
      </c>
      <c r="P13" s="138">
        <v>11</v>
      </c>
      <c r="Q13" s="138">
        <v>10</v>
      </c>
      <c r="R13" s="138">
        <v>14</v>
      </c>
      <c r="S13" s="138">
        <f t="shared" si="1"/>
        <v>9.1666666666666661</v>
      </c>
    </row>
    <row r="14" spans="1:19" x14ac:dyDescent="0.35">
      <c r="A14" s="71" t="s">
        <v>4</v>
      </c>
      <c r="B14" s="72" t="s">
        <v>23</v>
      </c>
      <c r="C14" s="58" t="s">
        <v>11</v>
      </c>
      <c r="D14" s="100" t="s">
        <v>24</v>
      </c>
      <c r="E14" s="141" t="s">
        <v>116</v>
      </c>
      <c r="F14" s="138">
        <v>6</v>
      </c>
      <c r="G14" s="138">
        <v>4</v>
      </c>
      <c r="H14" s="138">
        <v>6</v>
      </c>
      <c r="I14" s="138">
        <v>3</v>
      </c>
      <c r="J14" s="138">
        <v>1</v>
      </c>
      <c r="K14" s="138">
        <v>2</v>
      </c>
      <c r="L14" s="138">
        <f t="shared" si="0"/>
        <v>3.6666666666666665</v>
      </c>
      <c r="M14" s="138">
        <v>4</v>
      </c>
      <c r="N14" s="138">
        <v>3</v>
      </c>
      <c r="O14" s="138">
        <v>4</v>
      </c>
      <c r="P14" s="138">
        <v>0</v>
      </c>
      <c r="Q14" s="138">
        <v>3</v>
      </c>
      <c r="R14" s="138"/>
      <c r="S14" s="138">
        <f t="shared" si="1"/>
        <v>2.8</v>
      </c>
    </row>
    <row r="15" spans="1:19" x14ac:dyDescent="0.35">
      <c r="A15" s="71" t="s">
        <v>4</v>
      </c>
      <c r="B15" s="72" t="s">
        <v>23</v>
      </c>
      <c r="C15" s="58" t="s">
        <v>11</v>
      </c>
      <c r="D15" s="100" t="s">
        <v>25</v>
      </c>
      <c r="E15" s="141" t="s">
        <v>116</v>
      </c>
      <c r="F15" s="138">
        <v>0</v>
      </c>
      <c r="G15" s="138">
        <v>0</v>
      </c>
      <c r="H15" s="138">
        <v>0</v>
      </c>
      <c r="I15" s="138">
        <v>0</v>
      </c>
      <c r="J15" s="138">
        <v>0</v>
      </c>
      <c r="K15" s="138">
        <v>0</v>
      </c>
      <c r="L15" s="138">
        <f t="shared" si="0"/>
        <v>0</v>
      </c>
      <c r="M15" s="138">
        <v>0</v>
      </c>
      <c r="N15" s="138">
        <v>0</v>
      </c>
      <c r="O15" s="138">
        <v>0</v>
      </c>
      <c r="P15" s="138">
        <v>0</v>
      </c>
      <c r="Q15" s="138">
        <v>0</v>
      </c>
      <c r="R15" s="138"/>
      <c r="S15" s="138">
        <f t="shared" si="1"/>
        <v>0</v>
      </c>
    </row>
    <row r="16" spans="1:19" x14ac:dyDescent="0.35">
      <c r="A16" s="71" t="s">
        <v>4</v>
      </c>
      <c r="B16" s="72" t="s">
        <v>23</v>
      </c>
      <c r="C16" s="58" t="s">
        <v>11</v>
      </c>
      <c r="D16" s="100" t="s">
        <v>26</v>
      </c>
      <c r="E16" s="141" t="s">
        <v>116</v>
      </c>
      <c r="F16" s="138">
        <v>4</v>
      </c>
      <c r="G16" s="138">
        <v>3</v>
      </c>
      <c r="H16" s="138">
        <v>3</v>
      </c>
      <c r="I16" s="138">
        <v>1</v>
      </c>
      <c r="J16" s="138">
        <v>1</v>
      </c>
      <c r="K16" s="138">
        <v>1</v>
      </c>
      <c r="L16" s="138">
        <f t="shared" si="0"/>
        <v>2.1666666666666665</v>
      </c>
      <c r="M16" s="138">
        <v>1</v>
      </c>
      <c r="N16" s="138">
        <v>1</v>
      </c>
      <c r="O16" s="138">
        <v>1</v>
      </c>
      <c r="P16" s="138">
        <v>1</v>
      </c>
      <c r="Q16" s="138">
        <v>2</v>
      </c>
      <c r="R16" s="138"/>
      <c r="S16" s="138">
        <f t="shared" si="1"/>
        <v>1.2</v>
      </c>
    </row>
    <row r="17" spans="1:19" x14ac:dyDescent="0.35">
      <c r="A17" s="71" t="s">
        <v>4</v>
      </c>
      <c r="B17" s="72" t="s">
        <v>23</v>
      </c>
      <c r="C17" s="58" t="s">
        <v>11</v>
      </c>
      <c r="D17" s="100" t="s">
        <v>27</v>
      </c>
      <c r="E17" s="141" t="s">
        <v>116</v>
      </c>
      <c r="F17" s="138">
        <v>0</v>
      </c>
      <c r="G17" s="138">
        <v>0</v>
      </c>
      <c r="H17" s="138">
        <v>2</v>
      </c>
      <c r="I17" s="138">
        <v>0</v>
      </c>
      <c r="J17" s="138">
        <v>0</v>
      </c>
      <c r="K17" s="138"/>
      <c r="L17" s="138">
        <f t="shared" si="0"/>
        <v>0.4</v>
      </c>
      <c r="M17" s="138">
        <v>0</v>
      </c>
      <c r="N17" s="138">
        <v>0</v>
      </c>
      <c r="O17" s="138">
        <v>0</v>
      </c>
      <c r="P17" s="138">
        <v>0</v>
      </c>
      <c r="Q17" s="138">
        <v>0</v>
      </c>
      <c r="R17" s="138"/>
      <c r="S17" s="138">
        <f t="shared" si="1"/>
        <v>0</v>
      </c>
    </row>
    <row r="18" spans="1:19" x14ac:dyDescent="0.35">
      <c r="A18" s="71" t="s">
        <v>4</v>
      </c>
      <c r="B18" s="72" t="s">
        <v>29</v>
      </c>
      <c r="C18" s="59" t="s">
        <v>13</v>
      </c>
      <c r="D18" s="105" t="s">
        <v>30</v>
      </c>
      <c r="E18" s="141" t="s">
        <v>116</v>
      </c>
      <c r="F18" s="138">
        <v>0</v>
      </c>
      <c r="G18" s="138">
        <v>2</v>
      </c>
      <c r="H18" s="138">
        <v>0</v>
      </c>
      <c r="I18" s="138">
        <v>0</v>
      </c>
      <c r="J18" s="138">
        <v>1</v>
      </c>
      <c r="K18" s="138">
        <v>0</v>
      </c>
      <c r="L18" s="138">
        <f t="shared" si="0"/>
        <v>0.5</v>
      </c>
      <c r="M18" s="138">
        <v>0</v>
      </c>
      <c r="N18" s="138">
        <v>0</v>
      </c>
      <c r="O18" s="138">
        <v>0</v>
      </c>
      <c r="P18" s="138">
        <v>0</v>
      </c>
      <c r="Q18" s="138">
        <v>0</v>
      </c>
      <c r="R18" s="138">
        <v>0</v>
      </c>
      <c r="S18" s="138">
        <f t="shared" si="1"/>
        <v>0</v>
      </c>
    </row>
    <row r="19" spans="1:19" x14ac:dyDescent="0.35">
      <c r="A19" s="71" t="s">
        <v>4</v>
      </c>
      <c r="B19" s="72" t="s">
        <v>29</v>
      </c>
      <c r="C19" s="59" t="s">
        <v>13</v>
      </c>
      <c r="D19" s="105" t="s">
        <v>31</v>
      </c>
      <c r="E19" s="141" t="s">
        <v>116</v>
      </c>
      <c r="F19" s="138">
        <v>0</v>
      </c>
      <c r="G19" s="138">
        <v>0</v>
      </c>
      <c r="H19" s="138">
        <v>0</v>
      </c>
      <c r="I19" s="138">
        <v>0</v>
      </c>
      <c r="J19" s="138">
        <v>0</v>
      </c>
      <c r="K19" s="138">
        <v>0</v>
      </c>
      <c r="L19" s="138">
        <f t="shared" si="0"/>
        <v>0</v>
      </c>
      <c r="M19" s="138">
        <v>0</v>
      </c>
      <c r="N19" s="138">
        <v>0</v>
      </c>
      <c r="O19" s="138">
        <v>0</v>
      </c>
      <c r="P19" s="138">
        <v>0</v>
      </c>
      <c r="Q19" s="138">
        <v>0</v>
      </c>
      <c r="R19" s="138">
        <v>0</v>
      </c>
      <c r="S19" s="138">
        <f t="shared" si="1"/>
        <v>0</v>
      </c>
    </row>
    <row r="20" spans="1:19" x14ac:dyDescent="0.35">
      <c r="A20" s="71" t="s">
        <v>4</v>
      </c>
      <c r="B20" s="72" t="s">
        <v>29</v>
      </c>
      <c r="C20" s="59" t="s">
        <v>13</v>
      </c>
      <c r="D20" s="113" t="s">
        <v>32</v>
      </c>
      <c r="E20" s="141" t="s">
        <v>116</v>
      </c>
      <c r="F20" s="138">
        <v>0</v>
      </c>
      <c r="G20" s="138">
        <v>6</v>
      </c>
      <c r="H20" s="138">
        <v>0</v>
      </c>
      <c r="I20" s="138">
        <v>0</v>
      </c>
      <c r="J20" s="138">
        <v>0</v>
      </c>
      <c r="K20" s="138">
        <v>0</v>
      </c>
      <c r="L20" s="138">
        <f t="shared" si="0"/>
        <v>1</v>
      </c>
      <c r="M20" s="138">
        <v>0</v>
      </c>
      <c r="N20" s="138">
        <v>0</v>
      </c>
      <c r="O20" s="138">
        <v>0</v>
      </c>
      <c r="P20" s="138">
        <v>0</v>
      </c>
      <c r="Q20" s="138">
        <v>0</v>
      </c>
      <c r="R20" s="138">
        <v>0</v>
      </c>
      <c r="S20" s="138">
        <f t="shared" si="1"/>
        <v>0</v>
      </c>
    </row>
    <row r="21" spans="1:19" x14ac:dyDescent="0.35">
      <c r="A21" s="71" t="s">
        <v>4</v>
      </c>
      <c r="B21" s="72" t="s">
        <v>29</v>
      </c>
      <c r="C21" s="57" t="s">
        <v>15</v>
      </c>
      <c r="D21" s="100" t="s">
        <v>33</v>
      </c>
      <c r="E21" s="141" t="s">
        <v>116</v>
      </c>
      <c r="F21" s="138"/>
      <c r="G21" s="138"/>
      <c r="H21" s="138"/>
      <c r="I21" s="138"/>
      <c r="J21" s="138"/>
      <c r="K21" s="138"/>
      <c r="L21" s="138">
        <f t="shared" si="0"/>
        <v>0</v>
      </c>
      <c r="M21" s="138">
        <v>0</v>
      </c>
      <c r="N21" s="138">
        <v>0</v>
      </c>
      <c r="O21" s="138">
        <v>0</v>
      </c>
      <c r="P21" s="138">
        <v>0</v>
      </c>
      <c r="Q21" s="138">
        <v>0</v>
      </c>
      <c r="R21" s="138"/>
      <c r="S21" s="138">
        <f t="shared" si="1"/>
        <v>0</v>
      </c>
    </row>
    <row r="22" spans="1:19" x14ac:dyDescent="0.35">
      <c r="A22" s="120" t="s">
        <v>4</v>
      </c>
      <c r="B22" s="72" t="s">
        <v>8</v>
      </c>
      <c r="C22" s="57" t="s">
        <v>7</v>
      </c>
      <c r="D22" s="121" t="s">
        <v>64</v>
      </c>
      <c r="E22" s="141" t="s">
        <v>43</v>
      </c>
      <c r="F22" s="138"/>
      <c r="G22" s="138"/>
      <c r="H22" s="138"/>
      <c r="I22" s="138"/>
      <c r="J22" s="138"/>
      <c r="K22" s="138"/>
      <c r="L22" s="138">
        <f t="shared" si="0"/>
        <v>0</v>
      </c>
      <c r="M22" s="138"/>
      <c r="N22" s="138"/>
      <c r="O22" s="138"/>
      <c r="P22" s="138"/>
      <c r="Q22" s="138"/>
      <c r="R22" s="138"/>
      <c r="S22" s="138">
        <f t="shared" si="1"/>
        <v>0</v>
      </c>
    </row>
    <row r="23" spans="1:19" x14ac:dyDescent="0.35">
      <c r="A23" s="5" t="s">
        <v>4</v>
      </c>
      <c r="B23" s="72" t="s">
        <v>29</v>
      </c>
      <c r="C23" s="60" t="s">
        <v>17</v>
      </c>
      <c r="D23" s="4" t="s">
        <v>34</v>
      </c>
      <c r="E23" s="141" t="s">
        <v>116</v>
      </c>
      <c r="F23" s="138"/>
      <c r="G23" s="138"/>
      <c r="H23" s="138"/>
      <c r="I23" s="138"/>
      <c r="J23" s="138"/>
      <c r="K23" s="138"/>
      <c r="L23" s="138">
        <f t="shared" si="0"/>
        <v>0</v>
      </c>
      <c r="M23" s="138"/>
      <c r="N23" s="138"/>
      <c r="O23" s="138">
        <v>0</v>
      </c>
      <c r="P23" s="138">
        <v>0</v>
      </c>
      <c r="Q23" s="138">
        <v>0</v>
      </c>
      <c r="R23" s="138">
        <v>0</v>
      </c>
      <c r="S23" s="138">
        <f t="shared" si="1"/>
        <v>0</v>
      </c>
    </row>
    <row r="24" spans="1:19" x14ac:dyDescent="0.35">
      <c r="A24" s="5" t="s">
        <v>4</v>
      </c>
      <c r="B24" s="72" t="s">
        <v>29</v>
      </c>
      <c r="C24" s="60" t="s">
        <v>17</v>
      </c>
      <c r="D24" s="4" t="s">
        <v>35</v>
      </c>
      <c r="E24" s="141" t="s">
        <v>116</v>
      </c>
      <c r="F24" s="138"/>
      <c r="G24" s="138"/>
      <c r="H24" s="138"/>
      <c r="I24" s="138"/>
      <c r="J24" s="138"/>
      <c r="K24" s="138"/>
      <c r="L24" s="138">
        <f t="shared" si="0"/>
        <v>0</v>
      </c>
      <c r="M24" s="138"/>
      <c r="N24" s="138"/>
      <c r="O24" s="138">
        <v>0</v>
      </c>
      <c r="P24" s="138">
        <v>0</v>
      </c>
      <c r="Q24" s="138">
        <v>0</v>
      </c>
      <c r="R24" s="138">
        <v>0</v>
      </c>
      <c r="S24" s="138">
        <f t="shared" si="1"/>
        <v>0</v>
      </c>
    </row>
    <row r="25" spans="1:19" x14ac:dyDescent="0.35">
      <c r="A25" s="5" t="s">
        <v>4</v>
      </c>
      <c r="B25" s="72" t="s">
        <v>29</v>
      </c>
      <c r="C25" s="60" t="s">
        <v>17</v>
      </c>
      <c r="D25" s="4" t="s">
        <v>36</v>
      </c>
      <c r="E25" s="141" t="s">
        <v>116</v>
      </c>
      <c r="F25" s="138"/>
      <c r="G25" s="138"/>
      <c r="H25" s="138"/>
      <c r="I25" s="138"/>
      <c r="J25" s="138"/>
      <c r="K25" s="138"/>
      <c r="L25" s="138">
        <f t="shared" si="0"/>
        <v>0</v>
      </c>
      <c r="M25" s="138"/>
      <c r="N25" s="138"/>
      <c r="O25" s="138"/>
      <c r="P25" s="138"/>
      <c r="Q25" s="138"/>
      <c r="R25" s="138"/>
      <c r="S25" s="138">
        <f t="shared" si="1"/>
        <v>0</v>
      </c>
    </row>
    <row r="26" spans="1:19" x14ac:dyDescent="0.35">
      <c r="A26" s="5" t="s">
        <v>4</v>
      </c>
      <c r="B26" s="11" t="s">
        <v>28</v>
      </c>
      <c r="C26" s="52"/>
      <c r="D26" s="4"/>
      <c r="E26" s="141"/>
      <c r="F26" s="138"/>
      <c r="G26" s="138"/>
      <c r="H26" s="138"/>
      <c r="I26" s="138"/>
      <c r="J26" s="138"/>
      <c r="K26" s="138"/>
      <c r="L26" s="143"/>
      <c r="M26" s="138"/>
      <c r="N26" s="138"/>
      <c r="O26" s="138"/>
      <c r="P26" s="138"/>
      <c r="Q26" s="138"/>
      <c r="R26" s="138"/>
      <c r="S26" s="138">
        <f t="shared" si="1"/>
        <v>0</v>
      </c>
    </row>
    <row r="27" spans="1:19" x14ac:dyDescent="0.35">
      <c r="A27" s="5" t="s">
        <v>4</v>
      </c>
      <c r="B27" s="11" t="s">
        <v>28</v>
      </c>
      <c r="C27" s="54"/>
      <c r="D27" s="4"/>
      <c r="E27" s="141"/>
      <c r="F27" s="138"/>
      <c r="G27" s="138"/>
      <c r="H27" s="138"/>
      <c r="I27" s="138"/>
      <c r="J27" s="138"/>
      <c r="K27" s="138"/>
      <c r="L27" s="142"/>
      <c r="M27" s="138"/>
      <c r="N27" s="138"/>
      <c r="O27" s="138"/>
      <c r="P27" s="138"/>
      <c r="Q27" s="138"/>
      <c r="R27" s="138"/>
      <c r="S27" s="138">
        <f t="shared" si="1"/>
        <v>0</v>
      </c>
    </row>
    <row r="28" spans="1:19" x14ac:dyDescent="0.35">
      <c r="A28" s="71" t="s">
        <v>4</v>
      </c>
      <c r="B28" s="72" t="s">
        <v>23</v>
      </c>
      <c r="C28" s="58" t="s">
        <v>11</v>
      </c>
      <c r="D28" s="100" t="s">
        <v>144</v>
      </c>
      <c r="E28" s="141" t="s">
        <v>116</v>
      </c>
      <c r="F28" s="138"/>
      <c r="G28" s="138"/>
      <c r="H28" s="138"/>
      <c r="I28" s="138"/>
      <c r="J28" s="138"/>
      <c r="K28" s="138"/>
      <c r="L28" s="142"/>
      <c r="M28" s="138"/>
      <c r="N28" s="138"/>
      <c r="O28" s="138">
        <v>0</v>
      </c>
      <c r="P28" s="138">
        <v>0</v>
      </c>
      <c r="Q28" s="138">
        <v>0</v>
      </c>
      <c r="R28" s="138"/>
      <c r="S28" s="138">
        <f t="shared" si="1"/>
        <v>0</v>
      </c>
    </row>
    <row r="29" spans="1:19" x14ac:dyDescent="0.35">
      <c r="A29" s="5" t="s">
        <v>4</v>
      </c>
      <c r="B29" s="11"/>
      <c r="C29" s="72"/>
      <c r="D29" s="4"/>
      <c r="E29" s="11"/>
    </row>
    <row r="30" spans="1:19" x14ac:dyDescent="0.35">
      <c r="A30" s="5" t="s">
        <v>4</v>
      </c>
      <c r="B30" s="11"/>
      <c r="C30" s="72"/>
      <c r="D30" s="4"/>
      <c r="E30" s="11"/>
    </row>
    <row r="31" spans="1:19" x14ac:dyDescent="0.35">
      <c r="A31" s="5" t="s">
        <v>4</v>
      </c>
      <c r="B31" s="11"/>
      <c r="C31" s="11"/>
      <c r="D31" s="4"/>
      <c r="E31" s="11"/>
    </row>
    <row r="32" spans="1:19" x14ac:dyDescent="0.35">
      <c r="A32" s="5" t="s">
        <v>4</v>
      </c>
      <c r="B32" s="11"/>
      <c r="C32" s="11"/>
      <c r="D32" s="4"/>
      <c r="E32" s="11"/>
    </row>
  </sheetData>
  <autoFilter ref="A1:S32" xr:uid="{7088FD65-4B7C-4752-BBBA-C636145BAB03}"/>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40976-4EE5-4EB0-A8A9-A373A80A96A4}">
  <dimension ref="A1:C7"/>
  <sheetViews>
    <sheetView workbookViewId="0">
      <selection activeCell="C5" sqref="C5"/>
    </sheetView>
  </sheetViews>
  <sheetFormatPr defaultRowHeight="14.5" x14ac:dyDescent="0.35"/>
  <cols>
    <col min="1" max="1" width="17.90625" bestFit="1" customWidth="1"/>
    <col min="2" max="2" width="11.6328125" bestFit="1" customWidth="1"/>
    <col min="3" max="3" width="12.6328125" bestFit="1" customWidth="1"/>
  </cols>
  <sheetData>
    <row r="1" spans="1:3" x14ac:dyDescent="0.35">
      <c r="A1" s="13" t="s">
        <v>115</v>
      </c>
      <c r="B1" t="s">
        <v>116</v>
      </c>
    </row>
    <row r="3" spans="1:3" x14ac:dyDescent="0.35">
      <c r="A3" s="13" t="s">
        <v>45</v>
      </c>
      <c r="B3" t="s">
        <v>137</v>
      </c>
      <c r="C3" t="s">
        <v>146</v>
      </c>
    </row>
    <row r="4" spans="1:3" x14ac:dyDescent="0.35">
      <c r="A4" s="14" t="s">
        <v>8</v>
      </c>
      <c r="B4" s="47">
        <v>7.3939393939393936</v>
      </c>
      <c r="C4" s="47">
        <v>5.672727272727272</v>
      </c>
    </row>
    <row r="5" spans="1:3" x14ac:dyDescent="0.35">
      <c r="A5" s="14" t="s">
        <v>23</v>
      </c>
      <c r="B5" s="47">
        <v>1.5583333333333333</v>
      </c>
      <c r="C5" s="47">
        <v>0.8</v>
      </c>
    </row>
    <row r="6" spans="1:3" x14ac:dyDescent="0.35">
      <c r="A6" s="14" t="s">
        <v>29</v>
      </c>
      <c r="B6" s="47">
        <v>0.21428571428571427</v>
      </c>
      <c r="C6" s="47">
        <v>0</v>
      </c>
    </row>
    <row r="7" spans="1:3" x14ac:dyDescent="0.35">
      <c r="A7" s="14" t="s">
        <v>46</v>
      </c>
      <c r="B7" s="47">
        <v>4.0484848484848488</v>
      </c>
      <c r="C7" s="47">
        <v>2.8869565217391302</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8193F-F6D7-4A22-B98E-FDD6BB0058DC}">
  <dimension ref="A1:F10"/>
  <sheetViews>
    <sheetView workbookViewId="0">
      <selection activeCell="E3" sqref="E3"/>
    </sheetView>
  </sheetViews>
  <sheetFormatPr defaultRowHeight="14.5" x14ac:dyDescent="0.35"/>
  <cols>
    <col min="1" max="1" width="6.54296875" bestFit="1" customWidth="1"/>
    <col min="2" max="2" width="10.90625" bestFit="1" customWidth="1"/>
    <col min="3" max="3" width="7.54296875" bestFit="1" customWidth="1"/>
    <col min="4" max="4" width="10.453125" bestFit="1" customWidth="1"/>
    <col min="5" max="5" width="19.08984375" bestFit="1" customWidth="1"/>
  </cols>
  <sheetData>
    <row r="1" spans="1:6" x14ac:dyDescent="0.35">
      <c r="A1" s="164" t="s">
        <v>207</v>
      </c>
      <c r="B1" s="164" t="s">
        <v>211</v>
      </c>
      <c r="C1" s="164" t="s">
        <v>210</v>
      </c>
      <c r="D1" s="164" t="s">
        <v>208</v>
      </c>
      <c r="E1" s="164" t="s">
        <v>209</v>
      </c>
    </row>
    <row r="2" spans="1:6" x14ac:dyDescent="0.35">
      <c r="A2" t="s">
        <v>212</v>
      </c>
      <c r="B2" s="47">
        <v>7.2196690214547363</v>
      </c>
      <c r="C2" s="163">
        <v>1748</v>
      </c>
      <c r="D2" s="163">
        <v>189</v>
      </c>
      <c r="E2" s="163">
        <v>131</v>
      </c>
      <c r="F2" s="47">
        <f>C2/E2/2</f>
        <v>6.6717557251908399</v>
      </c>
    </row>
    <row r="3" spans="1:6" x14ac:dyDescent="0.35">
      <c r="A3" t="s">
        <v>213</v>
      </c>
      <c r="B3" s="47">
        <v>7.1145041862899019</v>
      </c>
      <c r="C3" s="163">
        <v>1747</v>
      </c>
      <c r="D3" s="163">
        <v>189</v>
      </c>
      <c r="E3" s="163">
        <v>131</v>
      </c>
      <c r="F3" s="47">
        <f t="shared" ref="F3:F9" si="0">C3/E3/2</f>
        <v>6.6679389312977095</v>
      </c>
    </row>
    <row r="4" spans="1:6" x14ac:dyDescent="0.35">
      <c r="A4" t="s">
        <v>214</v>
      </c>
      <c r="B4" s="47">
        <v>6.8252395712358966</v>
      </c>
      <c r="C4" s="163">
        <v>2664.8</v>
      </c>
      <c r="D4" s="163">
        <v>189</v>
      </c>
      <c r="E4" s="163">
        <v>131</v>
      </c>
      <c r="F4" s="47">
        <f>C4/E4/3</f>
        <v>6.7806615776081429</v>
      </c>
    </row>
    <row r="5" spans="1:6" x14ac:dyDescent="0.35">
      <c r="A5" t="s">
        <v>215</v>
      </c>
      <c r="B5" s="47">
        <v>6.698095238095239</v>
      </c>
      <c r="C5" s="163">
        <v>1672</v>
      </c>
      <c r="D5" s="163">
        <v>155</v>
      </c>
      <c r="E5" s="163">
        <v>131</v>
      </c>
      <c r="F5" s="47">
        <f t="shared" si="0"/>
        <v>6.3816793893129775</v>
      </c>
    </row>
    <row r="6" spans="1:6" x14ac:dyDescent="0.35">
      <c r="A6" t="s">
        <v>216</v>
      </c>
      <c r="B6" s="47">
        <v>7.7395238095238108</v>
      </c>
      <c r="C6" s="163">
        <v>1895.5</v>
      </c>
      <c r="D6" s="163">
        <v>155</v>
      </c>
      <c r="E6" s="163">
        <v>131</v>
      </c>
      <c r="F6" s="47">
        <f t="shared" si="0"/>
        <v>7.2347328244274811</v>
      </c>
    </row>
    <row r="7" spans="1:6" x14ac:dyDescent="0.35">
      <c r="A7" t="s">
        <v>217</v>
      </c>
      <c r="B7" s="47">
        <v>7.2577647933461895</v>
      </c>
      <c r="C7" s="163">
        <v>1846</v>
      </c>
      <c r="D7" s="163">
        <v>155</v>
      </c>
      <c r="E7" s="163">
        <v>115</v>
      </c>
      <c r="F7" s="47">
        <f t="shared" si="0"/>
        <v>8.0260869565217394</v>
      </c>
    </row>
    <row r="8" spans="1:6" x14ac:dyDescent="0.35">
      <c r="A8" t="s">
        <v>218</v>
      </c>
      <c r="B8" s="47">
        <v>7.6514105894105882</v>
      </c>
      <c r="C8" s="163">
        <v>1782.1</v>
      </c>
      <c r="D8" s="163">
        <v>156</v>
      </c>
      <c r="E8" s="163">
        <v>115</v>
      </c>
      <c r="F8" s="47">
        <f t="shared" si="0"/>
        <v>7.7482608695652173</v>
      </c>
    </row>
    <row r="9" spans="1:6" x14ac:dyDescent="0.35">
      <c r="A9" t="s">
        <v>219</v>
      </c>
      <c r="B9" s="47">
        <v>7.6967255483488382</v>
      </c>
      <c r="C9" s="163">
        <v>1785</v>
      </c>
      <c r="D9" s="163">
        <v>156</v>
      </c>
      <c r="E9" s="163">
        <v>115</v>
      </c>
      <c r="F9" s="47">
        <f t="shared" si="0"/>
        <v>7.7608695652173916</v>
      </c>
    </row>
    <row r="10" spans="1:6" x14ac:dyDescent="0.35">
      <c r="A10" t="s">
        <v>220</v>
      </c>
      <c r="B10" s="47">
        <v>7.4722881880024739</v>
      </c>
      <c r="C10" s="163">
        <v>868</v>
      </c>
      <c r="D10" s="163">
        <v>156</v>
      </c>
      <c r="E10" s="163">
        <v>115</v>
      </c>
      <c r="F10" s="47">
        <f>C10/E10</f>
        <v>7.5478260869565217</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56D9D-99C6-48B6-8116-8F10DCB0D65B}">
  <dimension ref="A1:F11"/>
  <sheetViews>
    <sheetView workbookViewId="0">
      <selection activeCell="B8" sqref="B8"/>
    </sheetView>
  </sheetViews>
  <sheetFormatPr defaultRowHeight="14.5" x14ac:dyDescent="0.35"/>
  <cols>
    <col min="1" max="1" width="6.54296875" bestFit="1" customWidth="1"/>
    <col min="2" max="2" width="7.54296875" bestFit="1" customWidth="1"/>
    <col min="3" max="3" width="10.453125" bestFit="1" customWidth="1"/>
    <col min="4" max="4" width="19.08984375" bestFit="1" customWidth="1"/>
    <col min="5" max="5" width="10.90625" bestFit="1" customWidth="1"/>
    <col min="6" max="6" width="17.08984375" bestFit="1" customWidth="1"/>
  </cols>
  <sheetData>
    <row r="1" spans="1:6" x14ac:dyDescent="0.35">
      <c r="A1" s="164" t="s">
        <v>207</v>
      </c>
      <c r="B1" s="164" t="s">
        <v>210</v>
      </c>
      <c r="C1" s="164" t="s">
        <v>208</v>
      </c>
      <c r="D1" s="164" t="s">
        <v>209</v>
      </c>
      <c r="E1" s="164" t="s">
        <v>211</v>
      </c>
      <c r="F1" s="164" t="s">
        <v>221</v>
      </c>
    </row>
    <row r="2" spans="1:6" x14ac:dyDescent="0.35">
      <c r="A2" t="s">
        <v>212</v>
      </c>
      <c r="B2" s="163">
        <v>1748</v>
      </c>
      <c r="C2" s="163">
        <v>189</v>
      </c>
      <c r="D2" s="163">
        <v>131</v>
      </c>
      <c r="E2" s="47">
        <v>6.6717557251908399</v>
      </c>
      <c r="F2" s="12">
        <v>2</v>
      </c>
    </row>
    <row r="3" spans="1:6" x14ac:dyDescent="0.35">
      <c r="A3" t="s">
        <v>213</v>
      </c>
      <c r="B3" s="163">
        <v>1747</v>
      </c>
      <c r="C3" s="163">
        <v>189</v>
      </c>
      <c r="D3" s="163">
        <v>131</v>
      </c>
      <c r="E3" s="47">
        <v>6.6679389312977095</v>
      </c>
      <c r="F3" s="12">
        <v>2</v>
      </c>
    </row>
    <row r="4" spans="1:6" x14ac:dyDescent="0.35">
      <c r="A4" t="s">
        <v>214</v>
      </c>
      <c r="B4" s="163">
        <v>2664.8</v>
      </c>
      <c r="C4" s="163">
        <v>189</v>
      </c>
      <c r="D4" s="163">
        <v>131</v>
      </c>
      <c r="E4" s="47">
        <v>6.7806615776081429</v>
      </c>
      <c r="F4" s="12">
        <v>3</v>
      </c>
    </row>
    <row r="5" spans="1:6" x14ac:dyDescent="0.35">
      <c r="A5" t="s">
        <v>215</v>
      </c>
      <c r="B5" s="163">
        <v>1672</v>
      </c>
      <c r="C5" s="163">
        <v>155</v>
      </c>
      <c r="D5" s="163">
        <v>131</v>
      </c>
      <c r="E5" s="47">
        <v>6.3816793893129775</v>
      </c>
      <c r="F5" s="12">
        <v>2</v>
      </c>
    </row>
    <row r="6" spans="1:6" x14ac:dyDescent="0.35">
      <c r="A6" t="s">
        <v>216</v>
      </c>
      <c r="B6" s="163">
        <v>1895.5</v>
      </c>
      <c r="C6" s="163">
        <v>155</v>
      </c>
      <c r="D6" s="163">
        <v>131</v>
      </c>
      <c r="E6" s="47">
        <v>7.2347328244274811</v>
      </c>
      <c r="F6" s="12">
        <v>2</v>
      </c>
    </row>
    <row r="7" spans="1:6" x14ac:dyDescent="0.35">
      <c r="A7" t="s">
        <v>217</v>
      </c>
      <c r="B7" s="163">
        <v>1846</v>
      </c>
      <c r="C7" s="163">
        <v>155</v>
      </c>
      <c r="D7" s="163">
        <v>115</v>
      </c>
      <c r="E7" s="47">
        <v>8.0260869565217394</v>
      </c>
      <c r="F7" s="12">
        <v>2</v>
      </c>
    </row>
    <row r="8" spans="1:6" x14ac:dyDescent="0.35">
      <c r="A8" t="s">
        <v>218</v>
      </c>
      <c r="B8" s="163">
        <v>1782.1</v>
      </c>
      <c r="C8" s="163">
        <v>156</v>
      </c>
      <c r="D8" s="163">
        <v>115</v>
      </c>
      <c r="E8" s="47">
        <v>7.7482608695652173</v>
      </c>
      <c r="F8" s="12">
        <v>2</v>
      </c>
    </row>
    <row r="9" spans="1:6" x14ac:dyDescent="0.35">
      <c r="A9" t="s">
        <v>219</v>
      </c>
      <c r="B9" s="163">
        <v>1785</v>
      </c>
      <c r="C9" s="163">
        <v>156</v>
      </c>
      <c r="D9" s="163">
        <v>115</v>
      </c>
      <c r="E9" s="47">
        <v>7.7608695652173916</v>
      </c>
      <c r="F9" s="12">
        <v>2</v>
      </c>
    </row>
    <row r="10" spans="1:6" x14ac:dyDescent="0.35">
      <c r="A10" t="s">
        <v>220</v>
      </c>
      <c r="B10" s="163">
        <v>868</v>
      </c>
      <c r="C10" s="163">
        <v>156</v>
      </c>
      <c r="D10" s="163">
        <v>115</v>
      </c>
      <c r="E10" s="47">
        <v>7.5478260869565217</v>
      </c>
      <c r="F10" s="12">
        <v>1</v>
      </c>
    </row>
    <row r="11" spans="1:6" x14ac:dyDescent="0.35">
      <c r="B11" s="163"/>
      <c r="C11" s="163"/>
      <c r="D11" s="163"/>
      <c r="E11" s="47"/>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886AC-8935-4084-A2BD-47B97ED99B7F}">
  <dimension ref="A1:K100"/>
  <sheetViews>
    <sheetView tabSelected="1" topLeftCell="A10" workbookViewId="0">
      <selection sqref="A1:K1"/>
    </sheetView>
  </sheetViews>
  <sheetFormatPr defaultRowHeight="14.5" x14ac:dyDescent="0.35"/>
  <cols>
    <col min="1" max="1" width="20" customWidth="1"/>
    <col min="2" max="2" width="22.1796875" customWidth="1"/>
    <col min="3" max="3" width="18.08984375" customWidth="1"/>
    <col min="4" max="5" width="11.81640625" customWidth="1"/>
    <col min="6" max="6" width="13.6328125" customWidth="1"/>
    <col min="7" max="7" width="21.81640625" customWidth="1"/>
    <col min="8" max="8" width="10" customWidth="1"/>
    <col min="9" max="9" width="27.26953125" customWidth="1"/>
    <col min="10" max="10" width="10.90625" customWidth="1"/>
    <col min="11" max="11" width="18.1796875" customWidth="1"/>
  </cols>
  <sheetData>
    <row r="1" spans="1:11" ht="32" customHeight="1" x14ac:dyDescent="0.55000000000000004">
      <c r="A1" s="178" t="s">
        <v>265</v>
      </c>
      <c r="B1" s="178"/>
      <c r="C1" s="178"/>
      <c r="D1" s="178"/>
      <c r="E1" s="178"/>
      <c r="F1" s="178"/>
      <c r="G1" s="178"/>
      <c r="H1" s="178"/>
      <c r="I1" s="178"/>
      <c r="J1" s="178"/>
      <c r="K1" s="178"/>
    </row>
    <row r="2" spans="1:11" x14ac:dyDescent="0.35">
      <c r="A2" s="179" t="s">
        <v>266</v>
      </c>
      <c r="B2" s="179"/>
      <c r="C2" s="179"/>
      <c r="D2" s="179"/>
      <c r="E2" s="179"/>
      <c r="F2" s="179"/>
      <c r="G2" s="179"/>
      <c r="H2" s="179"/>
      <c r="I2" s="179"/>
      <c r="J2" s="179"/>
      <c r="K2" s="179"/>
    </row>
    <row r="3" spans="1:11" x14ac:dyDescent="0.35">
      <c r="A3" s="177"/>
      <c r="B3" s="177"/>
      <c r="C3" s="177"/>
      <c r="D3" s="177"/>
      <c r="E3" s="177"/>
      <c r="F3" s="177"/>
      <c r="G3" s="177"/>
      <c r="H3" s="177"/>
      <c r="I3" s="177"/>
      <c r="J3" s="177"/>
      <c r="K3" s="177"/>
    </row>
    <row r="4" spans="1:11" x14ac:dyDescent="0.35">
      <c r="A4" s="180" t="s">
        <v>253</v>
      </c>
      <c r="B4" s="180" t="s">
        <v>254</v>
      </c>
      <c r="C4" s="180" t="s">
        <v>255</v>
      </c>
      <c r="D4" s="180" t="s">
        <v>256</v>
      </c>
      <c r="E4" s="180" t="s">
        <v>257</v>
      </c>
      <c r="F4" s="180" t="s">
        <v>249</v>
      </c>
      <c r="G4" s="180" t="s">
        <v>267</v>
      </c>
      <c r="H4" s="184" t="s">
        <v>268</v>
      </c>
      <c r="I4" s="184"/>
      <c r="J4" s="184"/>
      <c r="K4" s="184"/>
    </row>
    <row r="5" spans="1:11" ht="18.5" x14ac:dyDescent="0.45">
      <c r="A5" s="182">
        <f>'Pivot Productivity'!D34</f>
        <v>7.2463930766203477</v>
      </c>
      <c r="B5" s="182">
        <f>'Pivot Productivity'!E34</f>
        <v>7.6899363076522604</v>
      </c>
      <c r="C5" s="183">
        <f>B5/A5-1</f>
        <v>6.120882849468301E-2</v>
      </c>
      <c r="D5" s="182">
        <f>'Pivot Productivity'!F34</f>
        <v>7.8105905482999987</v>
      </c>
      <c r="E5" s="183">
        <f>D5/B5-1</f>
        <v>1.5689888163010535E-2</v>
      </c>
      <c r="F5" s="181" t="str">
        <f>COUNT('Pivot Productivity'!F5:F33)&amp;" of 29"</f>
        <v>26 of 29</v>
      </c>
      <c r="G5" s="181" t="str" cm="1">
        <f t="array" ref="G5">SUMPRODUCT(--('Pivot Productivity'!D5:D33&lt;&gt;""),--('Pivot Productivity'!E5:E33&lt;&gt;""),--('Pivot Productivity'!F5:F33&lt;&gt;""))&amp;" of 29"</f>
        <v>25 of 29</v>
      </c>
      <c r="H5" s="185" t="s">
        <v>269</v>
      </c>
      <c r="I5" s="185"/>
      <c r="J5" s="185"/>
      <c r="K5" s="185"/>
    </row>
    <row r="6" spans="1:11" x14ac:dyDescent="0.35">
      <c r="A6" s="177"/>
      <c r="B6" s="177"/>
      <c r="C6" s="177"/>
      <c r="D6" s="177"/>
      <c r="E6" s="177"/>
      <c r="F6" s="177"/>
      <c r="G6" s="177"/>
      <c r="H6" s="185"/>
      <c r="I6" s="185"/>
      <c r="J6" s="185"/>
      <c r="K6" s="185"/>
    </row>
    <row r="7" spans="1:11" x14ac:dyDescent="0.35">
      <c r="A7" s="177"/>
      <c r="B7" s="177"/>
      <c r="C7" s="177"/>
      <c r="D7" s="177"/>
      <c r="E7" s="177"/>
      <c r="F7" s="177"/>
      <c r="G7" s="177"/>
      <c r="H7" s="177"/>
      <c r="I7" s="177"/>
      <c r="J7" s="177"/>
      <c r="K7" s="177"/>
    </row>
    <row r="8" spans="1:11" x14ac:dyDescent="0.35">
      <c r="A8" s="184" t="s">
        <v>270</v>
      </c>
      <c r="B8" s="184"/>
      <c r="C8" s="184"/>
      <c r="D8" s="184"/>
      <c r="E8" s="184"/>
      <c r="F8" s="177"/>
      <c r="G8" s="184" t="s">
        <v>280</v>
      </c>
      <c r="H8" s="184"/>
      <c r="I8" s="184"/>
      <c r="J8" s="184"/>
      <c r="K8" s="184"/>
    </row>
    <row r="9" spans="1:11" x14ac:dyDescent="0.35">
      <c r="A9" s="186" t="s">
        <v>243</v>
      </c>
      <c r="B9" s="186" t="s">
        <v>271</v>
      </c>
      <c r="C9" s="186" t="s">
        <v>250</v>
      </c>
      <c r="D9" s="186" t="s">
        <v>272</v>
      </c>
      <c r="E9" s="186" t="s">
        <v>273</v>
      </c>
      <c r="F9" s="177"/>
      <c r="G9" s="186" t="s">
        <v>281</v>
      </c>
      <c r="H9" s="186" t="s">
        <v>282</v>
      </c>
      <c r="I9" s="186" t="s">
        <v>283</v>
      </c>
      <c r="J9" s="177"/>
      <c r="K9" s="177"/>
    </row>
    <row r="10" spans="1:11" ht="72.5" x14ac:dyDescent="0.35">
      <c r="A10" s="177" t="s">
        <v>260</v>
      </c>
      <c r="B10" s="177" t="s">
        <v>274</v>
      </c>
      <c r="C10" s="187">
        <f>'Pivot Productivity'!D34</f>
        <v>7.2463930766203477</v>
      </c>
      <c r="D10" s="188"/>
      <c r="E10" s="177" t="s">
        <v>275</v>
      </c>
      <c r="F10" s="177"/>
      <c r="G10" s="177" t="s">
        <v>284</v>
      </c>
      <c r="H10" s="177">
        <f>COUNTIF('Lead Observations'!B8:B36,G10)</f>
        <v>9</v>
      </c>
      <c r="I10" s="189" t="str" cm="1">
        <f t="array" ref="I10">_xlfn.TEXTJOIN(", ",TRUE,_xlfn._xlws.FILTER('Lead Observations'!A$8:A$36,'Lead Observations'!B$8:B$36=G10,""))</f>
        <v>XM Velocity 1/Xceeders, Xumo, BXT, DevOps, NWT-FSM, Platform, Celestial (Titan), Celestial (Universal), Flow Engine (prometheus)</v>
      </c>
      <c r="J10" s="177"/>
      <c r="K10" s="177"/>
    </row>
    <row r="11" spans="1:11" ht="58" x14ac:dyDescent="0.35">
      <c r="A11" s="177" t="s">
        <v>244</v>
      </c>
      <c r="B11" s="177" t="s">
        <v>276</v>
      </c>
      <c r="C11" s="187">
        <f>'Pivot Productivity'!E34</f>
        <v>7.6899363076522604</v>
      </c>
      <c r="D11" s="188">
        <f>C11/C10-1</f>
        <v>6.120882849468301E-2</v>
      </c>
      <c r="E11" s="177" t="s">
        <v>277</v>
      </c>
      <c r="F11" s="177"/>
      <c r="G11" s="177" t="s">
        <v>285</v>
      </c>
      <c r="H11" s="177">
        <f>COUNTIF('Lead Observations'!B8:B36,G11)</f>
        <v>5</v>
      </c>
      <c r="I11" s="189" t="str" cm="1">
        <f t="array" ref="I11">_xlfn.TEXTJOIN(", ",TRUE,_xlfn._xlws.FILTER('Lead Observations'!A$8:A$36,'Lead Observations'!B$8:B$36=G11,""))</f>
        <v>Account Services - XM PDF, XM360 CBM/Phoenix, XM360 Supersonix, NWT - PSNB, XRM - VOIXM Scrum</v>
      </c>
      <c r="J11" s="177"/>
      <c r="K11" s="177"/>
    </row>
    <row r="12" spans="1:11" ht="29" x14ac:dyDescent="0.35">
      <c r="A12" s="177" t="s">
        <v>261</v>
      </c>
      <c r="B12" s="177" t="s">
        <v>278</v>
      </c>
      <c r="C12" s="187">
        <f>'Pivot Productivity'!F34</f>
        <v>7.8105905482999987</v>
      </c>
      <c r="D12" s="188">
        <f>C12/C11-1</f>
        <v>1.5689888163010535E-2</v>
      </c>
      <c r="E12" s="177" t="s">
        <v>279</v>
      </c>
      <c r="F12" s="177"/>
      <c r="G12" s="177" t="s">
        <v>286</v>
      </c>
      <c r="H12" s="177">
        <f>COUNTIF('Lead Observations'!B8:B36,G12)</f>
        <v>3</v>
      </c>
      <c r="I12" s="189" t="str" cm="1">
        <f t="array" ref="I12">_xlfn.TEXTJOIN(", ",TRUE,_xlfn._xlws.FILTER('Lead Observations'!A$8:A$36,'Lead Observations'!B$8:B$36=G12,""))</f>
        <v>Field Experience, Flow Engine (optimus), XRM - Video Scrum</v>
      </c>
      <c r="J12" s="177"/>
      <c r="K12" s="177"/>
    </row>
    <row r="13" spans="1:11" ht="58" x14ac:dyDescent="0.35">
      <c r="A13" s="177"/>
      <c r="B13" s="177"/>
      <c r="C13" s="177"/>
      <c r="D13" s="177"/>
      <c r="E13" s="177"/>
      <c r="F13" s="177"/>
      <c r="G13" s="177" t="s">
        <v>287</v>
      </c>
      <c r="H13" s="177">
        <f>COUNTIF('Lead Observations'!B8:B36,G13)</f>
        <v>7</v>
      </c>
      <c r="I13" s="189" t="str" cm="1">
        <f t="array" ref="I13">_xlfn.TEXTJOIN(", ",TRUE,_xlfn._xlws.FILTER('Lead Observations'!A$8:A$36,'Lead Observations'!B$8:B$36=G13,""))</f>
        <v>Account Services, Account Services - BRE, Assisted Tools, CPOS, NWT - UI, XRM, XRM - HSD Scrum</v>
      </c>
      <c r="J13" s="177"/>
      <c r="K13" s="177"/>
    </row>
    <row r="14" spans="1:11" x14ac:dyDescent="0.35">
      <c r="A14" s="177"/>
      <c r="B14" s="177"/>
      <c r="C14" s="177"/>
      <c r="D14" s="177"/>
      <c r="E14" s="177"/>
      <c r="F14" s="177"/>
      <c r="G14" s="177" t="s">
        <v>288</v>
      </c>
      <c r="H14" s="177">
        <f>COUNTIF('Lead Observations'!B8:B36,G14)</f>
        <v>1</v>
      </c>
      <c r="I14" s="189" t="str" cm="1">
        <f t="array" ref="I14">_xlfn.TEXTJOIN(", ",TRUE,_xlfn._xlws.FILTER('Lead Observations'!A$8:A$36,'Lead Observations'!B$8:B$36=G14,""))</f>
        <v>Right Answers</v>
      </c>
      <c r="J14" s="177"/>
      <c r="K14" s="177"/>
    </row>
    <row r="15" spans="1:11" ht="174" customHeight="1" x14ac:dyDescent="0.35">
      <c r="A15" s="177"/>
      <c r="B15" s="177"/>
      <c r="C15" s="177"/>
      <c r="D15" s="177"/>
      <c r="E15" s="177"/>
      <c r="F15" s="177"/>
      <c r="G15" s="177"/>
      <c r="H15" s="177"/>
      <c r="I15" s="177"/>
      <c r="J15" s="177"/>
      <c r="K15" s="177"/>
    </row>
    <row r="16" spans="1:11" x14ac:dyDescent="0.35">
      <c r="A16" s="184" t="s">
        <v>289</v>
      </c>
      <c r="B16" s="184"/>
      <c r="C16" s="184"/>
      <c r="D16" s="184"/>
      <c r="E16" s="184"/>
      <c r="F16" s="177"/>
      <c r="G16" s="184" t="s">
        <v>298</v>
      </c>
      <c r="H16" s="184"/>
      <c r="I16" s="184"/>
      <c r="J16" s="184"/>
      <c r="K16" s="184"/>
    </row>
    <row r="17" spans="1:11" x14ac:dyDescent="0.35">
      <c r="A17" s="186" t="s">
        <v>290</v>
      </c>
      <c r="B17" s="186" t="s">
        <v>260</v>
      </c>
      <c r="C17" s="186" t="s">
        <v>244</v>
      </c>
      <c r="D17" s="186" t="s">
        <v>245</v>
      </c>
      <c r="E17" s="186" t="s">
        <v>291</v>
      </c>
      <c r="F17" s="177"/>
      <c r="G17" s="186" t="s">
        <v>290</v>
      </c>
      <c r="H17" s="186" t="s">
        <v>244</v>
      </c>
      <c r="I17" s="186" t="s">
        <v>261</v>
      </c>
      <c r="J17" s="186" t="s">
        <v>299</v>
      </c>
      <c r="K17" s="186" t="s">
        <v>291</v>
      </c>
    </row>
    <row r="18" spans="1:11" x14ac:dyDescent="0.35">
      <c r="A18" s="177" t="s">
        <v>18</v>
      </c>
      <c r="B18" s="187">
        <f>_xlfn.XLOOKUP(A18,'Lead Observations'!A$8:A$36,'Lead Observations'!C$8:C$36,"")</f>
        <v>4.2494444444444444</v>
      </c>
      <c r="C18" s="187">
        <f>_xlfn.XLOOKUP(A18,'Lead Observations'!A$8:A$36,'Lead Observations'!D$8:D$36,"")</f>
        <v>10</v>
      </c>
      <c r="D18" s="187">
        <f>C18-B18</f>
        <v>5.7505555555555556</v>
      </c>
      <c r="E18" s="177" t="s">
        <v>292</v>
      </c>
      <c r="F18" s="177"/>
      <c r="G18" s="177" t="s">
        <v>15</v>
      </c>
      <c r="H18" s="187">
        <f>_xlfn.XLOOKUP(G18,'Lead Observations'!A$8:A$36,'Lead Observations'!D$8:D$36,"")</f>
        <v>6.7955555555555556</v>
      </c>
      <c r="I18" s="187">
        <f>_xlfn.XLOOKUP(G18,'Lead Observations'!A$8:A$36,'Lead Observations'!E$8:E$36,"")</f>
        <v>9.17</v>
      </c>
      <c r="J18" s="187">
        <f>I18-H18</f>
        <v>2.3744444444444444</v>
      </c>
      <c r="K18" s="177" t="s">
        <v>300</v>
      </c>
    </row>
    <row r="19" spans="1:11" x14ac:dyDescent="0.35">
      <c r="A19" s="177" t="s">
        <v>25</v>
      </c>
      <c r="B19" s="187">
        <f>_xlfn.XLOOKUP(A19,'Lead Observations'!A$8:A$36,'Lead Observations'!C$8:C$36,"")</f>
        <v>5.1245238095238097</v>
      </c>
      <c r="C19" s="187">
        <f>_xlfn.XLOOKUP(A19,'Lead Observations'!A$8:A$36,'Lead Observations'!D$8:D$36,"")</f>
        <v>8.0883333333333329</v>
      </c>
      <c r="D19" s="187">
        <f>C19-B19</f>
        <v>2.9638095238095232</v>
      </c>
      <c r="E19" s="177" t="s">
        <v>293</v>
      </c>
      <c r="F19" s="177"/>
      <c r="G19" s="177" t="s">
        <v>33</v>
      </c>
      <c r="H19" s="187">
        <f>_xlfn.XLOOKUP(G19,'Lead Observations'!A$8:A$36,'Lead Observations'!D$8:D$36,"")</f>
        <v>6.7955555555555556</v>
      </c>
      <c r="I19" s="187">
        <f>_xlfn.XLOOKUP(G19,'Lead Observations'!A$8:A$36,'Lead Observations'!E$8:E$36,"")</f>
        <v>9.17</v>
      </c>
      <c r="J19" s="187">
        <f>I19-H19</f>
        <v>2.3744444444444444</v>
      </c>
      <c r="K19" s="177" t="s">
        <v>300</v>
      </c>
    </row>
    <row r="20" spans="1:11" x14ac:dyDescent="0.35">
      <c r="A20" s="177" t="s">
        <v>36</v>
      </c>
      <c r="B20" s="187">
        <f>_xlfn.XLOOKUP(A20,'Lead Observations'!A$8:A$36,'Lead Observations'!C$8:C$36,"")</f>
        <v>7.5</v>
      </c>
      <c r="C20" s="187">
        <f>_xlfn.XLOOKUP(A20,'Lead Observations'!A$8:A$36,'Lead Observations'!D$8:D$36,"")</f>
        <v>10</v>
      </c>
      <c r="D20" s="187">
        <f>C20-B20</f>
        <v>2.5</v>
      </c>
      <c r="E20" s="177" t="s">
        <v>294</v>
      </c>
      <c r="F20" s="177"/>
      <c r="G20" s="177" t="s">
        <v>14</v>
      </c>
      <c r="H20" s="187">
        <f>_xlfn.XLOOKUP(G20,'Lead Observations'!A$8:A$36,'Lead Observations'!D$8:D$36,"")</f>
        <v>13.033333333333333</v>
      </c>
      <c r="I20" s="187">
        <f>_xlfn.XLOOKUP(G20,'Lead Observations'!A$8:A$36,'Lead Observations'!E$8:E$36,"")</f>
        <v>14.066666666666668</v>
      </c>
      <c r="J20" s="187">
        <f>I20-H20</f>
        <v>1.033333333333335</v>
      </c>
      <c r="K20" s="177" t="s">
        <v>301</v>
      </c>
    </row>
    <row r="21" spans="1:11" x14ac:dyDescent="0.35">
      <c r="A21" s="177" t="s">
        <v>27</v>
      </c>
      <c r="B21" s="187">
        <f>_xlfn.XLOOKUP(A21,'Lead Observations'!A$8:A$36,'Lead Observations'!C$8:C$36,"")</f>
        <v>8.0599999999999987</v>
      </c>
      <c r="C21" s="187">
        <f>_xlfn.XLOOKUP(A21,'Lead Observations'!A$8:A$36,'Lead Observations'!D$8:D$36,"")</f>
        <v>4.2966666666666669</v>
      </c>
      <c r="D21" s="187">
        <f>C21-B21</f>
        <v>-3.7633333333333319</v>
      </c>
      <c r="E21" s="177" t="s">
        <v>295</v>
      </c>
      <c r="F21" s="177"/>
      <c r="G21" s="177" t="s">
        <v>34</v>
      </c>
      <c r="H21" s="187">
        <f>_xlfn.XLOOKUP(G21,'Lead Observations'!A$8:A$36,'Lead Observations'!D$8:D$36,"")</f>
        <v>13.666666666666666</v>
      </c>
      <c r="I21" s="187">
        <f>_xlfn.XLOOKUP(G21,'Lead Observations'!A$8:A$36,'Lead Observations'!E$8:E$36,"")</f>
        <v>11.5</v>
      </c>
      <c r="J21" s="187">
        <f>I21-H21</f>
        <v>-2.1666666666666661</v>
      </c>
      <c r="K21" s="177" t="s">
        <v>302</v>
      </c>
    </row>
    <row r="22" spans="1:11" x14ac:dyDescent="0.35">
      <c r="A22" s="177" t="s">
        <v>19</v>
      </c>
      <c r="B22" s="187">
        <f>_xlfn.XLOOKUP(A22,'Lead Observations'!A$8:A$36,'Lead Observations'!C$8:C$36,"")</f>
        <v>7.4375</v>
      </c>
      <c r="C22" s="187">
        <f>_xlfn.XLOOKUP(A22,'Lead Observations'!A$8:A$36,'Lead Observations'!D$8:D$36,"")</f>
        <v>5.814166666666666</v>
      </c>
      <c r="D22" s="187">
        <f>C22-B22</f>
        <v>-1.623333333333334</v>
      </c>
      <c r="E22" s="177" t="s">
        <v>296</v>
      </c>
      <c r="F22" s="177"/>
      <c r="G22" s="177" t="s">
        <v>20</v>
      </c>
      <c r="H22" s="187">
        <f>_xlfn.XLOOKUP(G22,'Lead Observations'!A$8:A$36,'Lead Observations'!D$8:D$36,"")</f>
        <v>7.48</v>
      </c>
      <c r="I22" s="187">
        <f>_xlfn.XLOOKUP(G22,'Lead Observations'!A$8:A$36,'Lead Observations'!E$8:E$36,"")</f>
        <v>5.376666666666666</v>
      </c>
      <c r="J22" s="187">
        <f>I22-H22</f>
        <v>-2.1033333333333344</v>
      </c>
      <c r="K22" s="177" t="s">
        <v>303</v>
      </c>
    </row>
    <row r="23" spans="1:11" x14ac:dyDescent="0.35">
      <c r="A23" s="177" t="s">
        <v>35</v>
      </c>
      <c r="B23" s="187">
        <f>_xlfn.XLOOKUP(A23,'Lead Observations'!A$8:A$36,'Lead Observations'!C$8:C$36,"")</f>
        <v>11.736111111111112</v>
      </c>
      <c r="C23" s="187">
        <f>_xlfn.XLOOKUP(A23,'Lead Observations'!A$8:A$36,'Lead Observations'!D$8:D$36,"")</f>
        <v>10.174999999999999</v>
      </c>
      <c r="D23" s="187">
        <f>C23-B23</f>
        <v>-1.5611111111111136</v>
      </c>
      <c r="E23" s="177" t="s">
        <v>297</v>
      </c>
      <c r="F23" s="177"/>
      <c r="G23" s="177" t="s">
        <v>139</v>
      </c>
      <c r="H23" s="187">
        <f>_xlfn.XLOOKUP(G23,'Lead Observations'!A$8:A$36,'Lead Observations'!D$8:D$36,"")</f>
        <v>6.4249999999999998</v>
      </c>
      <c r="I23" s="187">
        <f>_xlfn.XLOOKUP(G23,'Lead Observations'!A$8:A$36,'Lead Observations'!E$8:E$36,"")</f>
        <v>5.083333333333333</v>
      </c>
      <c r="J23" s="187">
        <f>I23-H23</f>
        <v>-1.3416666666666668</v>
      </c>
      <c r="K23" s="177" t="s">
        <v>304</v>
      </c>
    </row>
    <row r="24" spans="1:11" x14ac:dyDescent="0.35">
      <c r="A24" s="177"/>
      <c r="B24" s="177"/>
      <c r="C24" s="177"/>
      <c r="D24" s="177"/>
      <c r="E24" s="177"/>
      <c r="F24" s="177"/>
      <c r="G24" s="177"/>
      <c r="H24" s="177"/>
      <c r="I24" s="177"/>
      <c r="J24" s="177"/>
      <c r="K24" s="177"/>
    </row>
    <row r="25" spans="1:11" x14ac:dyDescent="0.35">
      <c r="A25" s="177"/>
      <c r="B25" s="177"/>
      <c r="C25" s="177"/>
      <c r="D25" s="177"/>
      <c r="E25" s="177"/>
      <c r="F25" s="177"/>
      <c r="G25" s="177"/>
      <c r="H25" s="177"/>
      <c r="I25" s="177"/>
      <c r="J25" s="177"/>
      <c r="K25" s="177"/>
    </row>
    <row r="26" spans="1:11" x14ac:dyDescent="0.35">
      <c r="A26" s="184" t="s">
        <v>305</v>
      </c>
      <c r="B26" s="184"/>
      <c r="C26" s="184"/>
      <c r="D26" s="184"/>
      <c r="E26" s="184"/>
      <c r="F26" s="184"/>
      <c r="G26" s="184"/>
      <c r="H26" s="184"/>
      <c r="I26" s="184"/>
      <c r="J26" s="184"/>
      <c r="K26" s="184"/>
    </row>
    <row r="27" spans="1:11" x14ac:dyDescent="0.35">
      <c r="A27" s="185" t="s">
        <v>306</v>
      </c>
      <c r="B27" s="185"/>
      <c r="C27" s="185"/>
      <c r="D27" s="185"/>
      <c r="E27" s="185"/>
      <c r="F27" s="185"/>
      <c r="G27" s="185"/>
      <c r="H27" s="185"/>
      <c r="I27" s="185"/>
      <c r="J27" s="185"/>
      <c r="K27" s="185"/>
    </row>
    <row r="28" spans="1:11" x14ac:dyDescent="0.35">
      <c r="A28" s="185"/>
      <c r="B28" s="185"/>
      <c r="C28" s="185"/>
      <c r="D28" s="185"/>
      <c r="E28" s="185"/>
      <c r="F28" s="185"/>
      <c r="G28" s="185"/>
      <c r="H28" s="185"/>
      <c r="I28" s="185"/>
      <c r="J28" s="185"/>
      <c r="K28" s="185"/>
    </row>
    <row r="29" spans="1:11" x14ac:dyDescent="0.35">
      <c r="A29" s="185"/>
      <c r="B29" s="185"/>
      <c r="C29" s="185"/>
      <c r="D29" s="185"/>
      <c r="E29" s="185"/>
      <c r="F29" s="185"/>
      <c r="G29" s="185"/>
      <c r="H29" s="185"/>
      <c r="I29" s="185"/>
      <c r="J29" s="185"/>
      <c r="K29" s="185"/>
    </row>
    <row r="81" spans="1:11" x14ac:dyDescent="0.35">
      <c r="A81" s="176"/>
      <c r="B81" s="176"/>
      <c r="C81" s="176"/>
      <c r="D81" s="176"/>
      <c r="E81" s="176"/>
      <c r="F81" s="176"/>
      <c r="G81" s="176"/>
      <c r="H81" s="176"/>
      <c r="I81" s="176"/>
      <c r="J81" s="176"/>
      <c r="K81" s="176"/>
    </row>
    <row r="82" spans="1:11" x14ac:dyDescent="0.35">
      <c r="A82" s="176"/>
      <c r="B82" s="176"/>
      <c r="C82" s="176"/>
      <c r="D82" s="176"/>
      <c r="E82" s="176"/>
      <c r="F82" s="176"/>
      <c r="G82" s="176"/>
      <c r="H82" s="176"/>
      <c r="I82" s="176"/>
      <c r="J82" s="176"/>
      <c r="K82" s="176"/>
    </row>
    <row r="83" spans="1:11" x14ac:dyDescent="0.35">
      <c r="A83" s="176"/>
      <c r="B83" s="176"/>
      <c r="C83" s="176"/>
      <c r="D83" s="176"/>
      <c r="E83" s="176"/>
      <c r="F83" s="176"/>
      <c r="G83" s="176"/>
      <c r="H83" s="176"/>
      <c r="I83" s="176"/>
      <c r="J83" s="176"/>
      <c r="K83" s="176"/>
    </row>
    <row r="84" spans="1:11" x14ac:dyDescent="0.35">
      <c r="A84" s="176"/>
      <c r="B84" s="176"/>
      <c r="C84" s="176"/>
      <c r="D84" s="176"/>
      <c r="E84" s="176"/>
      <c r="F84" s="176"/>
      <c r="G84" s="176"/>
      <c r="H84" s="176"/>
      <c r="I84" s="176"/>
      <c r="J84" s="176"/>
      <c r="K84" s="176"/>
    </row>
    <row r="85" spans="1:11" x14ac:dyDescent="0.35">
      <c r="A85" s="176"/>
      <c r="B85" s="176"/>
      <c r="C85" s="176"/>
      <c r="D85" s="176"/>
      <c r="E85" s="176"/>
      <c r="F85" s="176"/>
      <c r="G85" s="176"/>
      <c r="H85" s="176"/>
      <c r="I85" s="176"/>
      <c r="J85" s="176"/>
      <c r="K85" s="176"/>
    </row>
    <row r="86" spans="1:11" x14ac:dyDescent="0.35">
      <c r="A86" s="176"/>
      <c r="B86" s="176"/>
      <c r="C86" s="176"/>
      <c r="D86" s="176"/>
      <c r="E86" s="176"/>
      <c r="F86" s="176"/>
      <c r="G86" s="176"/>
      <c r="H86" s="176"/>
      <c r="I86" s="176"/>
      <c r="J86" s="176"/>
      <c r="K86" s="176"/>
    </row>
    <row r="87" spans="1:11" x14ac:dyDescent="0.35">
      <c r="A87" s="176"/>
      <c r="B87" s="176"/>
      <c r="C87" s="176"/>
      <c r="D87" s="176"/>
      <c r="E87" s="176"/>
      <c r="F87" s="176"/>
      <c r="G87" s="176"/>
      <c r="H87" s="176"/>
      <c r="I87" s="176"/>
      <c r="J87" s="176"/>
      <c r="K87" s="176"/>
    </row>
    <row r="88" spans="1:11" x14ac:dyDescent="0.35">
      <c r="A88" s="176"/>
      <c r="B88" s="176"/>
      <c r="C88" s="176"/>
      <c r="D88" s="176"/>
      <c r="E88" s="176"/>
      <c r="F88" s="176"/>
      <c r="G88" s="176"/>
      <c r="H88" s="176"/>
      <c r="I88" s="176"/>
      <c r="J88" s="176"/>
      <c r="K88" s="176"/>
    </row>
    <row r="89" spans="1:11" x14ac:dyDescent="0.35">
      <c r="A89" s="176"/>
      <c r="B89" s="176"/>
      <c r="C89" s="176"/>
      <c r="D89" s="176"/>
      <c r="E89" s="176"/>
      <c r="F89" s="176"/>
      <c r="G89" s="176"/>
      <c r="H89" s="176"/>
      <c r="I89" s="176"/>
      <c r="J89" s="176"/>
      <c r="K89" s="176"/>
    </row>
    <row r="90" spans="1:11" x14ac:dyDescent="0.35">
      <c r="A90" s="176"/>
      <c r="B90" s="176"/>
      <c r="C90" s="176"/>
      <c r="D90" s="176"/>
      <c r="E90" s="176"/>
      <c r="F90" s="176"/>
      <c r="G90" s="176"/>
      <c r="H90" s="176"/>
      <c r="I90" s="176"/>
      <c r="J90" s="176"/>
      <c r="K90" s="176"/>
    </row>
    <row r="91" spans="1:11" x14ac:dyDescent="0.35">
      <c r="A91" s="176"/>
      <c r="B91" s="176"/>
      <c r="C91" s="176"/>
      <c r="D91" s="176"/>
      <c r="E91" s="176"/>
      <c r="F91" s="176"/>
      <c r="G91" s="176"/>
      <c r="H91" s="176"/>
      <c r="I91" s="176"/>
      <c r="J91" s="176"/>
      <c r="K91" s="176"/>
    </row>
    <row r="92" spans="1:11" x14ac:dyDescent="0.35">
      <c r="A92" s="176"/>
      <c r="B92" s="176"/>
      <c r="C92" s="176"/>
      <c r="D92" s="176"/>
      <c r="E92" s="176"/>
      <c r="F92" s="176"/>
      <c r="G92" s="176"/>
      <c r="H92" s="176"/>
      <c r="I92" s="176"/>
      <c r="J92" s="176"/>
      <c r="K92" s="176"/>
    </row>
    <row r="93" spans="1:11" x14ac:dyDescent="0.35">
      <c r="A93" s="176"/>
      <c r="B93" s="176"/>
      <c r="C93" s="176"/>
      <c r="D93" s="176"/>
      <c r="E93" s="176"/>
      <c r="F93" s="176"/>
      <c r="G93" s="176"/>
      <c r="H93" s="176"/>
      <c r="I93" s="176"/>
      <c r="J93" s="176"/>
      <c r="K93" s="176"/>
    </row>
    <row r="94" spans="1:11" x14ac:dyDescent="0.35">
      <c r="A94" s="176"/>
      <c r="B94" s="176"/>
      <c r="C94" s="176"/>
      <c r="D94" s="176"/>
      <c r="E94" s="176"/>
      <c r="F94" s="176"/>
      <c r="G94" s="176"/>
      <c r="H94" s="176"/>
      <c r="I94" s="176"/>
      <c r="J94" s="176"/>
      <c r="K94" s="176"/>
    </row>
    <row r="95" spans="1:11" x14ac:dyDescent="0.35">
      <c r="A95" s="176"/>
      <c r="B95" s="176"/>
      <c r="C95" s="176"/>
      <c r="D95" s="176"/>
      <c r="E95" s="176"/>
      <c r="F95" s="176"/>
      <c r="G95" s="176"/>
      <c r="H95" s="176"/>
      <c r="I95" s="176"/>
      <c r="J95" s="176"/>
      <c r="K95" s="176"/>
    </row>
    <row r="96" spans="1:11" x14ac:dyDescent="0.35">
      <c r="A96" s="176"/>
      <c r="B96" s="176"/>
      <c r="C96" s="176"/>
      <c r="D96" s="176"/>
      <c r="E96" s="176"/>
      <c r="F96" s="176"/>
      <c r="G96" s="176"/>
      <c r="H96" s="176"/>
      <c r="I96" s="176"/>
      <c r="J96" s="176"/>
      <c r="K96" s="176"/>
    </row>
    <row r="97" spans="1:11" x14ac:dyDescent="0.35">
      <c r="A97" s="176"/>
      <c r="B97" s="176"/>
      <c r="C97" s="176"/>
      <c r="D97" s="176"/>
      <c r="E97" s="176"/>
      <c r="F97" s="176"/>
      <c r="G97" s="176"/>
      <c r="H97" s="176"/>
      <c r="I97" s="176"/>
      <c r="J97" s="176"/>
      <c r="K97" s="176"/>
    </row>
    <row r="98" spans="1:11" x14ac:dyDescent="0.35">
      <c r="A98" s="176"/>
      <c r="B98" s="176"/>
      <c r="C98" s="176"/>
      <c r="D98" s="176"/>
      <c r="E98" s="176"/>
      <c r="F98" s="176"/>
      <c r="G98" s="176"/>
      <c r="H98" s="176"/>
      <c r="I98" s="176"/>
      <c r="J98" s="176"/>
      <c r="K98" s="176"/>
    </row>
    <row r="99" spans="1:11" x14ac:dyDescent="0.35">
      <c r="A99" s="176"/>
      <c r="B99" s="176"/>
      <c r="C99" s="176"/>
      <c r="D99" s="176"/>
      <c r="E99" s="176"/>
      <c r="F99" s="176"/>
      <c r="G99" s="176"/>
      <c r="H99" s="176"/>
      <c r="I99" s="176"/>
      <c r="J99" s="176"/>
      <c r="K99" s="176"/>
    </row>
    <row r="100" spans="1:11" x14ac:dyDescent="0.35">
      <c r="A100" s="176"/>
      <c r="B100" s="176"/>
      <c r="C100" s="176"/>
      <c r="D100" s="176"/>
      <c r="E100" s="176"/>
      <c r="F100" s="176"/>
      <c r="G100" s="176"/>
      <c r="H100" s="176"/>
      <c r="I100" s="176"/>
      <c r="J100" s="176"/>
      <c r="K100" s="176"/>
    </row>
  </sheetData>
  <mergeCells count="10">
    <mergeCell ref="A26:K26"/>
    <mergeCell ref="A27:K29"/>
    <mergeCell ref="A8:E8"/>
    <mergeCell ref="G8:K8"/>
    <mergeCell ref="A16:E16"/>
    <mergeCell ref="G16:K16"/>
    <mergeCell ref="A1:K1"/>
    <mergeCell ref="A2:K2"/>
    <mergeCell ref="H4:K4"/>
    <mergeCell ref="H5:K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4C1F5-2E41-4597-955E-6EB46A6D90D6}">
  <dimension ref="A1:J36"/>
  <sheetViews>
    <sheetView topLeftCell="A6" workbookViewId="0">
      <selection sqref="A1:K1"/>
    </sheetView>
  </sheetViews>
  <sheetFormatPr defaultRowHeight="14.5" x14ac:dyDescent="0.35"/>
  <cols>
    <col min="1" max="1" width="21.81640625" customWidth="1"/>
    <col min="2" max="2" width="18.1796875" customWidth="1"/>
    <col min="3" max="7" width="10" customWidth="1"/>
    <col min="8" max="9" width="27.26953125" customWidth="1"/>
    <col min="10" max="10" width="18.1796875" customWidth="1"/>
  </cols>
  <sheetData>
    <row r="1" spans="1:10" ht="32" customHeight="1" x14ac:dyDescent="0.55000000000000004">
      <c r="A1" s="178" t="s">
        <v>251</v>
      </c>
      <c r="B1" s="178"/>
      <c r="C1" s="178"/>
      <c r="D1" s="178"/>
      <c r="E1" s="178"/>
      <c r="F1" s="178"/>
      <c r="G1" s="178"/>
      <c r="H1" s="178"/>
      <c r="I1" s="178"/>
      <c r="J1" s="178"/>
    </row>
    <row r="2" spans="1:10" x14ac:dyDescent="0.35">
      <c r="A2" s="179" t="s">
        <v>252</v>
      </c>
      <c r="B2" s="179"/>
      <c r="C2" s="179"/>
      <c r="D2" s="179"/>
      <c r="E2" s="179"/>
      <c r="F2" s="179"/>
      <c r="G2" s="179"/>
      <c r="H2" s="179"/>
      <c r="I2" s="179"/>
      <c r="J2" s="179"/>
    </row>
    <row r="3" spans="1:10" x14ac:dyDescent="0.35">
      <c r="A3" s="177"/>
      <c r="B3" s="177"/>
      <c r="C3" s="177"/>
      <c r="D3" s="177"/>
      <c r="E3" s="177"/>
      <c r="F3" s="177"/>
      <c r="G3" s="177"/>
      <c r="H3" s="177"/>
      <c r="I3" s="177"/>
      <c r="J3" s="177"/>
    </row>
    <row r="4" spans="1:10" x14ac:dyDescent="0.35">
      <c r="A4" s="180" t="s">
        <v>253</v>
      </c>
      <c r="B4" s="180" t="s">
        <v>254</v>
      </c>
      <c r="C4" s="180" t="s">
        <v>255</v>
      </c>
      <c r="D4" s="180" t="s">
        <v>256</v>
      </c>
      <c r="E4" s="180" t="s">
        <v>257</v>
      </c>
      <c r="F4" s="180" t="s">
        <v>249</v>
      </c>
      <c r="G4" s="180" t="s">
        <v>258</v>
      </c>
      <c r="H4" s="177"/>
      <c r="I4" s="177"/>
      <c r="J4" s="177"/>
    </row>
    <row r="5" spans="1:10" ht="18.5" x14ac:dyDescent="0.45">
      <c r="A5" s="182">
        <f>'Pivot Productivity'!D34</f>
        <v>7.2463930766203477</v>
      </c>
      <c r="B5" s="182">
        <f>'Pivot Productivity'!E34</f>
        <v>7.6899363076522604</v>
      </c>
      <c r="C5" s="183">
        <f>B5/A5-1</f>
        <v>6.120882849468301E-2</v>
      </c>
      <c r="D5" s="182">
        <f>'Pivot Productivity'!F34</f>
        <v>7.8105905482999987</v>
      </c>
      <c r="E5" s="183">
        <f>D5/B5-1</f>
        <v>1.5689888163010535E-2</v>
      </c>
      <c r="F5" s="181" t="str">
        <f>COUNT('Pivot Productivity'!F5:F33)&amp;" of 29"</f>
        <v>26 of 29</v>
      </c>
      <c r="G5" s="181" t="str" cm="1">
        <f t="array" ref="G5">SUMPRODUCT(--('Pivot Productivity'!D5:D33&lt;&gt;""),--('Pivot Productivity'!E5:E33&lt;&gt;""),--('Pivot Productivity'!F5:F33&lt;&gt;""))&amp;" of 29"</f>
        <v>25 of 29</v>
      </c>
      <c r="H5" s="177"/>
      <c r="I5" s="177"/>
      <c r="J5" s="177"/>
    </row>
    <row r="6" spans="1:10" x14ac:dyDescent="0.35">
      <c r="A6" s="177"/>
      <c r="B6" s="177"/>
      <c r="C6" s="177"/>
      <c r="D6" s="177"/>
      <c r="E6" s="177"/>
      <c r="F6" s="177"/>
      <c r="G6" s="177"/>
      <c r="H6" s="177"/>
      <c r="I6" s="177"/>
      <c r="J6" s="177"/>
    </row>
    <row r="7" spans="1:10" ht="29" x14ac:dyDescent="0.35">
      <c r="A7" s="190" t="s">
        <v>246</v>
      </c>
      <c r="B7" s="190" t="s">
        <v>259</v>
      </c>
      <c r="C7" s="190" t="s">
        <v>260</v>
      </c>
      <c r="D7" s="190" t="s">
        <v>244</v>
      </c>
      <c r="E7" s="190" t="s">
        <v>261</v>
      </c>
      <c r="F7" s="190" t="s">
        <v>262</v>
      </c>
      <c r="G7" s="190" t="s">
        <v>263</v>
      </c>
      <c r="H7" s="190" t="s">
        <v>264</v>
      </c>
      <c r="I7" s="190" t="s">
        <v>247</v>
      </c>
      <c r="J7" s="190" t="s">
        <v>248</v>
      </c>
    </row>
    <row r="8" spans="1:10" ht="72.5" x14ac:dyDescent="0.35">
      <c r="A8" s="177" t="str">
        <f>'Pivot Productivity'!A5</f>
        <v>Account Services</v>
      </c>
      <c r="B8" s="177" t="str">
        <f>IF(E8="","Data gap",IF(C8="","No Q1 baseline",IF(AND(D8&gt;C8,E8&gt;D8),"Sustained increase",IF(AND(D8&lt;C8,E8&lt;D8),"Sustained decline",IF(AND(D8&lt;C8,E8&gt;D8),"Q3TD recovery",IF(AND(D8&gt;C8,E8&lt;D8),"Q3TD reversal","Stable / mixed"))))))</f>
        <v>Q3TD reversal</v>
      </c>
      <c r="C8" s="187">
        <f>IF('Pivot Productivity'!D5="","",'Pivot Productivity'!D5)</f>
        <v>10.300925925925926</v>
      </c>
      <c r="D8" s="187">
        <f>IF('Pivot Productivity'!E5="","",'Pivot Productivity'!E5)</f>
        <v>11.280555555555553</v>
      </c>
      <c r="E8" s="187">
        <f>IF('Pivot Productivity'!F5="","",'Pivot Productivity'!F5)</f>
        <v>10.383333333333333</v>
      </c>
      <c r="F8" s="187">
        <f>IF(OR(C8="",D8=""),"",D8-C8)</f>
        <v>0.97962962962962763</v>
      </c>
      <c r="G8" s="187">
        <f>IF(OR(D8="",E8=""),"",E8-D8)</f>
        <v>-0.89722222222222037</v>
      </c>
      <c r="H8" s="189" t="str">
        <f>IF(E8="","Q3TD is missing; Q1 was "&amp;TEXT(C8,"0.0")&amp;" and Q2 was "&amp;TEXT(D8,"0.0")&amp;".",IF(C8="","No Q1 baseline. Q2 was "&amp;TEXT(D8,"0.0")&amp;" and Q3TD is "&amp;TEXT(E8,"0.0")&amp;"; the Q3TD comparison remains preliminary.","Q1 "&amp;TEXT(C8,"0.0")&amp;" → Q2 "&amp;TEXT(D8,"0.0")&amp;" → Q3TD "&amp;TEXT(E8,"0.0")&amp;". Pattern: "&amp;LOWER(B8)&amp;"; Q3TD remains partial."))</f>
        <v>Q1 10.3 → Q2 11.3 → Q3TD 10.4. Pattern: q3td reversal; Q3TD remains partial.</v>
      </c>
      <c r="I8" s="189" t="str">
        <f>IF(B8="Sustained increase","Which repeatable practices drove improvement from Q1 through Q3TD, and can they be sustained through quarter-end?",IF(B8="Sustained decline","What persistent constraint has reduced productivity since Q1, and what corrective action is planned?",IF(B8="Q3TD recovery","What changed after the Q2 decline, and is the Q3TD recovery supported by enough sprint evidence?",IF(B8="Q3TD reversal","What changed after the Q2 improvement, and is the Q3TD reversal caused by capacity, complexity, dependencies, scope, or timing?",IF(B8="Data gap","When will Q3TD data be available, and should the missing value be treated as pending rather than zero?",IF(B8="No Q1 baseline","Why is Q1 unavailable, and what baseline should be used to assess this application?","What explains the stable or mixed pattern, and what should be monitored in the remaining Q3 sprints?"))))))</f>
        <v>What changed after the Q2 improvement, and is the Q3TD reversal caused by capacity, complexity, dependencies, scope, or timing?</v>
      </c>
      <c r="J8" s="177"/>
    </row>
    <row r="9" spans="1:10" ht="72.5" x14ac:dyDescent="0.35">
      <c r="A9" s="177" t="str">
        <f>'Pivot Productivity'!A6</f>
        <v>Account Services - BRE</v>
      </c>
      <c r="B9" s="177" t="str">
        <f>IF(E9="","Data gap",IF(C9="","No Q1 baseline",IF(AND(D9&gt;C9,E9&gt;D9),"Sustained increase",IF(AND(D9&lt;C9,E9&lt;D9),"Sustained decline",IF(AND(D9&lt;C9,E9&gt;D9),"Q3TD recovery",IF(AND(D9&gt;C9,E9&lt;D9),"Q3TD reversal","Stable / mixed"))))))</f>
        <v>Q3TD reversal</v>
      </c>
      <c r="C9" s="187">
        <f>IF('Pivot Productivity'!D6="","",'Pivot Productivity'!D6)</f>
        <v>11.666666666666666</v>
      </c>
      <c r="D9" s="187">
        <f>IF('Pivot Productivity'!E6="","",'Pivot Productivity'!E6)</f>
        <v>13.666666666666666</v>
      </c>
      <c r="E9" s="187">
        <f>IF('Pivot Productivity'!F6="","",'Pivot Productivity'!F6)</f>
        <v>11.5</v>
      </c>
      <c r="F9" s="187">
        <f>IF(OR(C9="",D9=""),"",D9-C9)</f>
        <v>2</v>
      </c>
      <c r="G9" s="187">
        <f>IF(OR(D9="",E9=""),"",E9-D9)</f>
        <v>-2.1666666666666661</v>
      </c>
      <c r="H9" s="189" t="str">
        <f>IF(E9="","Q3TD is missing; Q1 was "&amp;TEXT(C9,"0.0")&amp;" and Q2 was "&amp;TEXT(D9,"0.0")&amp;".",IF(C9="","No Q1 baseline. Q2 was "&amp;TEXT(D9,"0.0")&amp;" and Q3TD is "&amp;TEXT(E9,"0.0")&amp;"; the Q3TD comparison remains preliminary.","Q1 "&amp;TEXT(C9,"0.0")&amp;" → Q2 "&amp;TEXT(D9,"0.0")&amp;" → Q3TD "&amp;TEXT(E9,"0.0")&amp;". Pattern: "&amp;LOWER(B9)&amp;"; Q3TD remains partial."))</f>
        <v>Q1 11.7 → Q2 13.7 → Q3TD 11.5. Pattern: q3td reversal; Q3TD remains partial.</v>
      </c>
      <c r="I9" s="189" t="str">
        <f>IF(B9="Sustained increase","Which repeatable practices drove improvement from Q1 through Q3TD, and can they be sustained through quarter-end?",IF(B9="Sustained decline","What persistent constraint has reduced productivity since Q1, and what corrective action is planned?",IF(B9="Q3TD recovery","What changed after the Q2 decline, and is the Q3TD recovery supported by enough sprint evidence?",IF(B9="Q3TD reversal","What changed after the Q2 improvement, and is the Q3TD reversal caused by capacity, complexity, dependencies, scope, or timing?",IF(B9="Data gap","When will Q3TD data be available, and should the missing value be treated as pending rather than zero?",IF(B9="No Q1 baseline","Why is Q1 unavailable, and what baseline should be used to assess this application?","What explains the stable or mixed pattern, and what should be monitored in the remaining Q3 sprints?"))))))</f>
        <v>What changed after the Q2 improvement, and is the Q3TD reversal caused by capacity, complexity, dependencies, scope, or timing?</v>
      </c>
      <c r="J9" s="177"/>
    </row>
    <row r="10" spans="1:10" ht="58" x14ac:dyDescent="0.35">
      <c r="A10" s="177" t="str">
        <f>'Pivot Productivity'!A7</f>
        <v>Account Services - NOW</v>
      </c>
      <c r="B10" s="177" t="str">
        <f>IF(E10="","Data gap",IF(C10="","No Q1 baseline",IF(AND(D10&gt;C10,E10&gt;D10),"Sustained increase",IF(AND(D10&lt;C10,E10&lt;D10),"Sustained decline",IF(AND(D10&lt;C10,E10&gt;D10),"Q3TD recovery",IF(AND(D10&gt;C10,E10&lt;D10),"Q3TD reversal","Stable / mixed"))))))</f>
        <v>Data gap</v>
      </c>
      <c r="C10" s="187">
        <f>IF('Pivot Productivity'!D7="","",'Pivot Productivity'!D7)</f>
        <v>7.5</v>
      </c>
      <c r="D10" s="187">
        <f>IF('Pivot Productivity'!E7="","",'Pivot Productivity'!E7)</f>
        <v>10</v>
      </c>
      <c r="E10" s="187" t="str">
        <f>IF('Pivot Productivity'!F7="","",'Pivot Productivity'!F7)</f>
        <v/>
      </c>
      <c r="F10" s="187">
        <f>IF(OR(C10="",D10=""),"",D10-C10)</f>
        <v>2.5</v>
      </c>
      <c r="G10" s="187" t="str">
        <f>IF(OR(D10="",E10=""),"",E10-D10)</f>
        <v/>
      </c>
      <c r="H10" s="189" t="str">
        <f>IF(E10="","Q3TD is missing; Q1 was "&amp;TEXT(C10,"0.0")&amp;" and Q2 was "&amp;TEXT(D10,"0.0")&amp;".",IF(C10="","No Q1 baseline. Q2 was "&amp;TEXT(D10,"0.0")&amp;" and Q3TD is "&amp;TEXT(E10,"0.0")&amp;"; the Q3TD comparison remains preliminary.","Q1 "&amp;TEXT(C10,"0.0")&amp;" → Q2 "&amp;TEXT(D10,"0.0")&amp;" → Q3TD "&amp;TEXT(E10,"0.0")&amp;". Pattern: "&amp;LOWER(B10)&amp;"; Q3TD remains partial."))</f>
        <v>Q3TD is missing; Q1 was 7.5 and Q2 was 10.0.</v>
      </c>
      <c r="I10" s="189" t="str">
        <f>IF(B10="Sustained increase","Which repeatable practices drove improvement from Q1 through Q3TD, and can they be sustained through quarter-end?",IF(B10="Sustained decline","What persistent constraint has reduced productivity since Q1, and what corrective action is planned?",IF(B10="Q3TD recovery","What changed after the Q2 decline, and is the Q3TD recovery supported by enough sprint evidence?",IF(B10="Q3TD reversal","What changed after the Q2 improvement, and is the Q3TD reversal caused by capacity, complexity, dependencies, scope, or timing?",IF(B10="Data gap","When will Q3TD data be available, and should the missing value be treated as pending rather than zero?",IF(B10="No Q1 baseline","Why is Q1 unavailable, and what baseline should be used to assess this application?","What explains the stable or mixed pattern, and what should be monitored in the remaining Q3 sprints?"))))))</f>
        <v>When will Q3TD data be available, and should the missing value be treated as pending rather than zero?</v>
      </c>
      <c r="J10" s="177"/>
    </row>
    <row r="11" spans="1:10" ht="58" x14ac:dyDescent="0.35">
      <c r="A11" s="177" t="str">
        <f>'Pivot Productivity'!A8</f>
        <v>Account Services - XM PDF</v>
      </c>
      <c r="B11" s="177" t="str">
        <f>IF(E11="","Data gap",IF(C11="","No Q1 baseline",IF(AND(D11&gt;C11,E11&gt;D11),"Sustained increase",IF(AND(D11&lt;C11,E11&lt;D11),"Sustained decline",IF(AND(D11&lt;C11,E11&gt;D11),"Q3TD recovery",IF(AND(D11&gt;C11,E11&lt;D11),"Q3TD reversal","Stable / mixed"))))))</f>
        <v>Sustained decline</v>
      </c>
      <c r="C11" s="187">
        <f>IF('Pivot Productivity'!D8="","",'Pivot Productivity'!D8)</f>
        <v>11.736111111111112</v>
      </c>
      <c r="D11" s="187">
        <f>IF('Pivot Productivity'!E8="","",'Pivot Productivity'!E8)</f>
        <v>10.174999999999999</v>
      </c>
      <c r="E11" s="187">
        <f>IF('Pivot Productivity'!F8="","",'Pivot Productivity'!F8)</f>
        <v>9.2666666666666675</v>
      </c>
      <c r="F11" s="187">
        <f>IF(OR(C11="",D11=""),"",D11-C11)</f>
        <v>-1.5611111111111136</v>
      </c>
      <c r="G11" s="187">
        <f>IF(OR(D11="",E11=""),"",E11-D11)</f>
        <v>-0.90833333333333144</v>
      </c>
      <c r="H11" s="189" t="str">
        <f>IF(E11="","Q3TD is missing; Q1 was "&amp;TEXT(C11,"0.0")&amp;" and Q2 was "&amp;TEXT(D11,"0.0")&amp;".",IF(C11="","No Q1 baseline. Q2 was "&amp;TEXT(D11,"0.0")&amp;" and Q3TD is "&amp;TEXT(E11,"0.0")&amp;"; the Q3TD comparison remains preliminary.","Q1 "&amp;TEXT(C11,"0.0")&amp;" → Q2 "&amp;TEXT(D11,"0.0")&amp;" → Q3TD "&amp;TEXT(E11,"0.0")&amp;". Pattern: "&amp;LOWER(B11)&amp;"; Q3TD remains partial."))</f>
        <v>Q1 11.7 → Q2 10.2 → Q3TD 9.3. Pattern: sustained decline; Q3TD remains partial.</v>
      </c>
      <c r="I11" s="189" t="str">
        <f>IF(B11="Sustained increase","Which repeatable practices drove improvement from Q1 through Q3TD, and can they be sustained through quarter-end?",IF(B11="Sustained decline","What persistent constraint has reduced productivity since Q1, and what corrective action is planned?",IF(B11="Q3TD recovery","What changed after the Q2 decline, and is the Q3TD recovery supported by enough sprint evidence?",IF(B11="Q3TD reversal","What changed after the Q2 improvement, and is the Q3TD reversal caused by capacity, complexity, dependencies, scope, or timing?",IF(B11="Data gap","When will Q3TD data be available, and should the missing value be treated as pending rather than zero?",IF(B11="No Q1 baseline","Why is Q1 unavailable, and what baseline should be used to assess this application?","What explains the stable or mixed pattern, and what should be monitored in the remaining Q3 sprints?"))))))</f>
        <v>What persistent constraint has reduced productivity since Q1, and what corrective action is planned?</v>
      </c>
      <c r="J11" s="177"/>
    </row>
    <row r="12" spans="1:10" ht="72.5" x14ac:dyDescent="0.35">
      <c r="A12" s="177" t="str">
        <f>'Pivot Productivity'!A9</f>
        <v>Assisted Tools</v>
      </c>
      <c r="B12" s="177" t="str">
        <f>IF(E12="","Data gap",IF(C12="","No Q1 baseline",IF(AND(D12&gt;C12,E12&gt;D12),"Sustained increase",IF(AND(D12&lt;C12,E12&lt;D12),"Sustained decline",IF(AND(D12&lt;C12,E12&gt;D12),"Q3TD recovery",IF(AND(D12&gt;C12,E12&lt;D12),"Q3TD reversal","Stable / mixed"))))))</f>
        <v>Q3TD reversal</v>
      </c>
      <c r="C12" s="187">
        <f>IF('Pivot Productivity'!D9="","",'Pivot Productivity'!D9)</f>
        <v>7.240113960113959</v>
      </c>
      <c r="D12" s="187">
        <f>IF('Pivot Productivity'!E9="","",'Pivot Productivity'!E9)</f>
        <v>7.3777416564873812</v>
      </c>
      <c r="E12" s="187">
        <f>IF('Pivot Productivity'!F9="","",'Pivot Productivity'!F9)</f>
        <v>7.0409999999999995</v>
      </c>
      <c r="F12" s="187">
        <f>IF(OR(C12="",D12=""),"",D12-C12)</f>
        <v>0.1376276963734222</v>
      </c>
      <c r="G12" s="187">
        <f>IF(OR(D12="",E12=""),"",E12-D12)</f>
        <v>-0.33674165648738175</v>
      </c>
      <c r="H12" s="189" t="str">
        <f>IF(E12="","Q3TD is missing; Q1 was "&amp;TEXT(C12,"0.0")&amp;" and Q2 was "&amp;TEXT(D12,"0.0")&amp;".",IF(C12="","No Q1 baseline. Q2 was "&amp;TEXT(D12,"0.0")&amp;" and Q3TD is "&amp;TEXT(E12,"0.0")&amp;"; the Q3TD comparison remains preliminary.","Q1 "&amp;TEXT(C12,"0.0")&amp;" → Q2 "&amp;TEXT(D12,"0.0")&amp;" → Q3TD "&amp;TEXT(E12,"0.0")&amp;". Pattern: "&amp;LOWER(B12)&amp;"; Q3TD remains partial."))</f>
        <v>Q1 7.2 → Q2 7.4 → Q3TD 7.0. Pattern: q3td reversal; Q3TD remains partial.</v>
      </c>
      <c r="I12" s="189" t="str">
        <f>IF(B12="Sustained increase","Which repeatable practices drove improvement from Q1 through Q3TD, and can they be sustained through quarter-end?",IF(B12="Sustained decline","What persistent constraint has reduced productivity since Q1, and what corrective action is planned?",IF(B12="Q3TD recovery","What changed after the Q2 decline, and is the Q3TD recovery supported by enough sprint evidence?",IF(B12="Q3TD reversal","What changed after the Q2 improvement, and is the Q3TD reversal caused by capacity, complexity, dependencies, scope, or timing?",IF(B12="Data gap","When will Q3TD data be available, and should the missing value be treated as pending rather than zero?",IF(B12="No Q1 baseline","Why is Q1 unavailable, and what baseline should be used to assess this application?","What explains the stable or mixed pattern, and what should be monitored in the remaining Q3 sprints?"))))))</f>
        <v>What changed after the Q2 improvement, and is the Q3TD reversal caused by capacity, complexity, dependencies, scope, or timing?</v>
      </c>
      <c r="J12" s="177"/>
    </row>
    <row r="13" spans="1:10" ht="72.5" x14ac:dyDescent="0.35">
      <c r="A13" s="177" t="str">
        <f>'Pivot Productivity'!A10</f>
        <v>CPOS</v>
      </c>
      <c r="B13" s="177" t="str">
        <f>IF(E13="","Data gap",IF(C13="","No Q1 baseline",IF(AND(D13&gt;C13,E13&gt;D13),"Sustained increase",IF(AND(D13&lt;C13,E13&lt;D13),"Sustained decline",IF(AND(D13&lt;C13,E13&gt;D13),"Q3TD recovery",IF(AND(D13&gt;C13,E13&lt;D13),"Q3TD reversal","Stable / mixed"))))))</f>
        <v>Q3TD reversal</v>
      </c>
      <c r="C13" s="187">
        <f>IF('Pivot Productivity'!D10="","",'Pivot Productivity'!D10)</f>
        <v>6.208333333333333</v>
      </c>
      <c r="D13" s="187">
        <f>IF('Pivot Productivity'!E10="","",'Pivot Productivity'!E10)</f>
        <v>6.4249999999999998</v>
      </c>
      <c r="E13" s="187">
        <f>IF('Pivot Productivity'!F10="","",'Pivot Productivity'!F10)</f>
        <v>5.083333333333333</v>
      </c>
      <c r="F13" s="187">
        <f>IF(OR(C13="",D13=""),"",D13-C13)</f>
        <v>0.21666666666666679</v>
      </c>
      <c r="G13" s="187">
        <f>IF(OR(D13="",E13=""),"",E13-D13)</f>
        <v>-1.3416666666666668</v>
      </c>
      <c r="H13" s="189" t="str">
        <f>IF(E13="","Q3TD is missing; Q1 was "&amp;TEXT(C13,"0.0")&amp;" and Q2 was "&amp;TEXT(D13,"0.0")&amp;".",IF(C13="","No Q1 baseline. Q2 was "&amp;TEXT(D13,"0.0")&amp;" and Q3TD is "&amp;TEXT(E13,"0.0")&amp;"; the Q3TD comparison remains preliminary.","Q1 "&amp;TEXT(C13,"0.0")&amp;" → Q2 "&amp;TEXT(D13,"0.0")&amp;" → Q3TD "&amp;TEXT(E13,"0.0")&amp;". Pattern: "&amp;LOWER(B13)&amp;"; Q3TD remains partial."))</f>
        <v>Q1 6.2 → Q2 6.4 → Q3TD 5.1. Pattern: q3td reversal; Q3TD remains partial.</v>
      </c>
      <c r="I13" s="189" t="str">
        <f>IF(B13="Sustained increase","Which repeatable practices drove improvement from Q1 through Q3TD, and can they be sustained through quarter-end?",IF(B13="Sustained decline","What persistent constraint has reduced productivity since Q1, and what corrective action is planned?",IF(B13="Q3TD recovery","What changed after the Q2 decline, and is the Q3TD recovery supported by enough sprint evidence?",IF(B13="Q3TD reversal","What changed after the Q2 improvement, and is the Q3TD reversal caused by capacity, complexity, dependencies, scope, or timing?",IF(B13="Data gap","When will Q3TD data be available, and should the missing value be treated as pending rather than zero?",IF(B13="No Q1 baseline","Why is Q1 unavailable, and what baseline should be used to assess this application?","What explains the stable or mixed pattern, and what should be monitored in the remaining Q3 sprints?"))))))</f>
        <v>What changed after the Q2 improvement, and is the Q3TD reversal caused by capacity, complexity, dependencies, scope, or timing?</v>
      </c>
      <c r="J13" s="177"/>
    </row>
    <row r="14" spans="1:10" ht="72.5" x14ac:dyDescent="0.35">
      <c r="A14" s="177" t="str">
        <f>'Pivot Productivity'!A11</f>
        <v>XM Velocity 1/Xceeders</v>
      </c>
      <c r="B14" s="177" t="str">
        <f>IF(E14="","Data gap",IF(C14="","No Q1 baseline",IF(AND(D14&gt;C14,E14&gt;D14),"Sustained increase",IF(AND(D14&lt;C14,E14&lt;D14),"Sustained decline",IF(AND(D14&lt;C14,E14&gt;D14),"Q3TD recovery",IF(AND(D14&gt;C14,E14&lt;D14),"Q3TD reversal","Stable / mixed"))))))</f>
        <v>Sustained increase</v>
      </c>
      <c r="C14" s="187">
        <f>IF('Pivot Productivity'!D11="","",'Pivot Productivity'!D11)</f>
        <v>7.0167948717948727</v>
      </c>
      <c r="D14" s="187">
        <f>IF('Pivot Productivity'!E11="","",'Pivot Productivity'!E11)</f>
        <v>7.2720512820512822</v>
      </c>
      <c r="E14" s="187">
        <f>IF('Pivot Productivity'!F11="","",'Pivot Productivity'!F11)</f>
        <v>7.8500000000000005</v>
      </c>
      <c r="F14" s="187">
        <f>IF(OR(C14="",D14=""),"",D14-C14)</f>
        <v>0.25525641025640944</v>
      </c>
      <c r="G14" s="187">
        <f>IF(OR(D14="",E14=""),"",E14-D14)</f>
        <v>0.57794871794871838</v>
      </c>
      <c r="H14" s="189" t="str">
        <f>IF(E14="","Q3TD is missing; Q1 was "&amp;TEXT(C14,"0.0")&amp;" and Q2 was "&amp;TEXT(D14,"0.0")&amp;".",IF(C14="","No Q1 baseline. Q2 was "&amp;TEXT(D14,"0.0")&amp;" and Q3TD is "&amp;TEXT(E14,"0.0")&amp;"; the Q3TD comparison remains preliminary.","Q1 "&amp;TEXT(C14,"0.0")&amp;" → Q2 "&amp;TEXT(D14,"0.0")&amp;" → Q3TD "&amp;TEXT(E14,"0.0")&amp;". Pattern: "&amp;LOWER(B14)&amp;"; Q3TD remains partial."))</f>
        <v>Q1 7.0 → Q2 7.3 → Q3TD 7.9. Pattern: sustained increase; Q3TD remains partial.</v>
      </c>
      <c r="I14" s="189" t="str">
        <f>IF(B14="Sustained increase","Which repeatable practices drove improvement from Q1 through Q3TD, and can they be sustained through quarter-end?",IF(B14="Sustained decline","What persistent constraint has reduced productivity since Q1, and what corrective action is planned?",IF(B14="Q3TD recovery","What changed after the Q2 decline, and is the Q3TD recovery supported by enough sprint evidence?",IF(B14="Q3TD reversal","What changed after the Q2 improvement, and is the Q3TD reversal caused by capacity, complexity, dependencies, scope, or timing?",IF(B14="Data gap","When will Q3TD data be available, and should the missing value be treated as pending rather than zero?",IF(B14="No Q1 baseline","Why is Q1 unavailable, and what baseline should be used to assess this application?","What explains the stable or mixed pattern, and what should be monitored in the remaining Q3 sprints?"))))))</f>
        <v>Which repeatable practices drove improvement from Q1 through Q3TD, and can they be sustained through quarter-end?</v>
      </c>
      <c r="J14" s="177"/>
    </row>
    <row r="15" spans="1:10" ht="58" x14ac:dyDescent="0.35">
      <c r="A15" s="177" t="str">
        <f>'Pivot Productivity'!A12</f>
        <v>XM Velocity 2/Xplorers</v>
      </c>
      <c r="B15" s="177" t="str">
        <f>IF(E15="","Data gap",IF(C15="","No Q1 baseline",IF(AND(D15&gt;C15,E15&gt;D15),"Sustained increase",IF(AND(D15&lt;C15,E15&lt;D15),"Sustained decline",IF(AND(D15&lt;C15,E15&gt;D15),"Q3TD recovery",IF(AND(D15&gt;C15,E15&lt;D15),"Q3TD reversal","Stable / mixed"))))))</f>
        <v>Data gap</v>
      </c>
      <c r="C15" s="187">
        <f>IF('Pivot Productivity'!D12="","",'Pivot Productivity'!D12)</f>
        <v>6.1705555555555556</v>
      </c>
      <c r="D15" s="187">
        <f>IF('Pivot Productivity'!E12="","",'Pivot Productivity'!E12)</f>
        <v>6.6085653235396817</v>
      </c>
      <c r="E15" s="187" t="str">
        <f>IF('Pivot Productivity'!F12="","",'Pivot Productivity'!F12)</f>
        <v/>
      </c>
      <c r="F15" s="187">
        <f>IF(OR(C15="",D15=""),"",D15-C15)</f>
        <v>0.43800976798412616</v>
      </c>
      <c r="G15" s="187" t="str">
        <f>IF(OR(D15="",E15=""),"",E15-D15)</f>
        <v/>
      </c>
      <c r="H15" s="189" t="str">
        <f>IF(E15="","Q3TD is missing; Q1 was "&amp;TEXT(C15,"0.0")&amp;" and Q2 was "&amp;TEXT(D15,"0.0")&amp;".",IF(C15="","No Q1 baseline. Q2 was "&amp;TEXT(D15,"0.0")&amp;" and Q3TD is "&amp;TEXT(E15,"0.0")&amp;"; the Q3TD comparison remains preliminary.","Q1 "&amp;TEXT(C15,"0.0")&amp;" → Q2 "&amp;TEXT(D15,"0.0")&amp;" → Q3TD "&amp;TEXT(E15,"0.0")&amp;". Pattern: "&amp;LOWER(B15)&amp;"; Q3TD remains partial."))</f>
        <v>Q3TD is missing; Q1 was 6.2 and Q2 was 6.6.</v>
      </c>
      <c r="I15" s="189" t="str">
        <f>IF(B15="Sustained increase","Which repeatable practices drove improvement from Q1 through Q3TD, and can they be sustained through quarter-end?",IF(B15="Sustained decline","What persistent constraint has reduced productivity since Q1, and what corrective action is planned?",IF(B15="Q3TD recovery","What changed after the Q2 decline, and is the Q3TD recovery supported by enough sprint evidence?",IF(B15="Q3TD reversal","What changed after the Q2 improvement, and is the Q3TD reversal caused by capacity, complexity, dependencies, scope, or timing?",IF(B15="Data gap","When will Q3TD data be available, and should the missing value be treated as pending rather than zero?",IF(B15="No Q1 baseline","Why is Q1 unavailable, and what baseline should be used to assess this application?","What explains the stable or mixed pattern, and what should be monitored in the remaining Q3 sprints?"))))))</f>
        <v>When will Q3TD data be available, and should the missing value be treated as pending rather than zero?</v>
      </c>
      <c r="J15" s="177"/>
    </row>
    <row r="16" spans="1:10" ht="58" x14ac:dyDescent="0.35">
      <c r="A16" s="177" t="str">
        <f>'Pivot Productivity'!A13</f>
        <v>XM360 CBM/Phoenix</v>
      </c>
      <c r="B16" s="177" t="str">
        <f>IF(E16="","Data gap",IF(C16="","No Q1 baseline",IF(AND(D16&gt;C16,E16&gt;D16),"Sustained increase",IF(AND(D16&lt;C16,E16&lt;D16),"Sustained decline",IF(AND(D16&lt;C16,E16&gt;D16),"Q3TD recovery",IF(AND(D16&gt;C16,E16&lt;D16),"Q3TD reversal","Stable / mixed"))))))</f>
        <v>Sustained decline</v>
      </c>
      <c r="C16" s="187">
        <f>IF('Pivot Productivity'!D13="","",'Pivot Productivity'!D13)</f>
        <v>7.4375</v>
      </c>
      <c r="D16" s="187">
        <f>IF('Pivot Productivity'!E13="","",'Pivot Productivity'!E13)</f>
        <v>5.814166666666666</v>
      </c>
      <c r="E16" s="187">
        <f>IF('Pivot Productivity'!F13="","",'Pivot Productivity'!F13)</f>
        <v>5.2949999999999999</v>
      </c>
      <c r="F16" s="187">
        <f>IF(OR(C16="",D16=""),"",D16-C16)</f>
        <v>-1.623333333333334</v>
      </c>
      <c r="G16" s="187">
        <f>IF(OR(D16="",E16=""),"",E16-D16)</f>
        <v>-0.51916666666666611</v>
      </c>
      <c r="H16" s="189" t="str">
        <f>IF(E16="","Q3TD is missing; Q1 was "&amp;TEXT(C16,"0.0")&amp;" and Q2 was "&amp;TEXT(D16,"0.0")&amp;".",IF(C16="","No Q1 baseline. Q2 was "&amp;TEXT(D16,"0.0")&amp;" and Q3TD is "&amp;TEXT(E16,"0.0")&amp;"; the Q3TD comparison remains preliminary.","Q1 "&amp;TEXT(C16,"0.0")&amp;" → Q2 "&amp;TEXT(D16,"0.0")&amp;" → Q3TD "&amp;TEXT(E16,"0.0")&amp;". Pattern: "&amp;LOWER(B16)&amp;"; Q3TD remains partial."))</f>
        <v>Q1 7.4 → Q2 5.8 → Q3TD 5.3. Pattern: sustained decline; Q3TD remains partial.</v>
      </c>
      <c r="I16" s="189" t="str">
        <f>IF(B16="Sustained increase","Which repeatable practices drove improvement from Q1 through Q3TD, and can they be sustained through quarter-end?",IF(B16="Sustained decline","What persistent constraint has reduced productivity since Q1, and what corrective action is planned?",IF(B16="Q3TD recovery","What changed after the Q2 decline, and is the Q3TD recovery supported by enough sprint evidence?",IF(B16="Q3TD reversal","What changed after the Q2 improvement, and is the Q3TD reversal caused by capacity, complexity, dependencies, scope, or timing?",IF(B16="Data gap","When will Q3TD data be available, and should the missing value be treated as pending rather than zero?",IF(B16="No Q1 baseline","Why is Q1 unavailable, and what baseline should be used to assess this application?","What explains the stable or mixed pattern, and what should be monitored in the remaining Q3 sprints?"))))))</f>
        <v>What persistent constraint has reduced productivity since Q1, and what corrective action is planned?</v>
      </c>
      <c r="J16" s="177"/>
    </row>
    <row r="17" spans="1:10" ht="58" x14ac:dyDescent="0.35">
      <c r="A17" s="177" t="str">
        <f>'Pivot Productivity'!A14</f>
        <v>XM360 Supersonix</v>
      </c>
      <c r="B17" s="177" t="str">
        <f>IF(E17="","Data gap",IF(C17="","No Q1 baseline",IF(AND(D17&gt;C17,E17&gt;D17),"Sustained increase",IF(AND(D17&lt;C17,E17&lt;D17),"Sustained decline",IF(AND(D17&lt;C17,E17&gt;D17),"Q3TD recovery",IF(AND(D17&gt;C17,E17&lt;D17),"Q3TD reversal","Stable / mixed"))))))</f>
        <v>Sustained decline</v>
      </c>
      <c r="C17" s="187">
        <f>IF('Pivot Productivity'!D14="","",'Pivot Productivity'!D14)</f>
        <v>7.6258333333333335</v>
      </c>
      <c r="D17" s="187">
        <f>IF('Pivot Productivity'!E14="","",'Pivot Productivity'!E14)</f>
        <v>7.48</v>
      </c>
      <c r="E17" s="187">
        <f>IF('Pivot Productivity'!F14="","",'Pivot Productivity'!F14)</f>
        <v>5.376666666666666</v>
      </c>
      <c r="F17" s="187">
        <f>IF(OR(C17="",D17=""),"",D17-C17)</f>
        <v>-0.14583333333333304</v>
      </c>
      <c r="G17" s="187">
        <f>IF(OR(D17="",E17=""),"",E17-D17)</f>
        <v>-2.1033333333333344</v>
      </c>
      <c r="H17" s="189" t="str">
        <f>IF(E17="","Q3TD is missing; Q1 was "&amp;TEXT(C17,"0.0")&amp;" and Q2 was "&amp;TEXT(D17,"0.0")&amp;".",IF(C17="","No Q1 baseline. Q2 was "&amp;TEXT(D17,"0.0")&amp;" and Q3TD is "&amp;TEXT(E17,"0.0")&amp;"; the Q3TD comparison remains preliminary.","Q1 "&amp;TEXT(C17,"0.0")&amp;" → Q2 "&amp;TEXT(D17,"0.0")&amp;" → Q3TD "&amp;TEXT(E17,"0.0")&amp;". Pattern: "&amp;LOWER(B17)&amp;"; Q3TD remains partial."))</f>
        <v>Q1 7.6 → Q2 7.5 → Q3TD 5.4. Pattern: sustained decline; Q3TD remains partial.</v>
      </c>
      <c r="I17" s="189" t="str">
        <f>IF(B17="Sustained increase","Which repeatable practices drove improvement from Q1 through Q3TD, and can they be sustained through quarter-end?",IF(B17="Sustained decline","What persistent constraint has reduced productivity since Q1, and what corrective action is planned?",IF(B17="Q3TD recovery","What changed after the Q2 decline, and is the Q3TD recovery supported by enough sprint evidence?",IF(B17="Q3TD reversal","What changed after the Q2 improvement, and is the Q3TD reversal caused by capacity, complexity, dependencies, scope, or timing?",IF(B17="Data gap","When will Q3TD data be available, and should the missing value be treated as pending rather than zero?",IF(B17="No Q1 baseline","Why is Q1 unavailable, and what baseline should be used to assess this application?","What explains the stable or mixed pattern, and what should be monitored in the remaining Q3 sprints?"))))))</f>
        <v>What persistent constraint has reduced productivity since Q1, and what corrective action is planned?</v>
      </c>
      <c r="J17" s="177"/>
    </row>
    <row r="18" spans="1:10" ht="72.5" x14ac:dyDescent="0.35">
      <c r="A18" s="177" t="str">
        <f>'Pivot Productivity'!A15</f>
        <v>Xumo</v>
      </c>
      <c r="B18" s="177" t="str">
        <f>IF(E18="","Data gap",IF(C18="","No Q1 baseline",IF(AND(D18&gt;C18,E18&gt;D18),"Sustained increase",IF(AND(D18&lt;C18,E18&lt;D18),"Sustained decline",IF(AND(D18&lt;C18,E18&gt;D18),"Q3TD recovery",IF(AND(D18&gt;C18,E18&lt;D18),"Q3TD reversal","Stable / mixed"))))))</f>
        <v>Sustained increase</v>
      </c>
      <c r="C18" s="187">
        <f>IF('Pivot Productivity'!D15="","",'Pivot Productivity'!D15)</f>
        <v>8.9816666666666656</v>
      </c>
      <c r="D18" s="187">
        <f>IF('Pivot Productivity'!E15="","",'Pivot Productivity'!E15)</f>
        <v>10.666666666666666</v>
      </c>
      <c r="E18" s="187">
        <f>IF('Pivot Productivity'!F15="","",'Pivot Productivity'!F15)</f>
        <v>11.6</v>
      </c>
      <c r="F18" s="187">
        <f>IF(OR(C18="",D18=""),"",D18-C18)</f>
        <v>1.6850000000000005</v>
      </c>
      <c r="G18" s="187">
        <f>IF(OR(D18="",E18=""),"",E18-D18)</f>
        <v>0.93333333333333357</v>
      </c>
      <c r="H18" s="189" t="str">
        <f>IF(E18="","Q3TD is missing; Q1 was "&amp;TEXT(C18,"0.0")&amp;" and Q2 was "&amp;TEXT(D18,"0.0")&amp;".",IF(C18="","No Q1 baseline. Q2 was "&amp;TEXT(D18,"0.0")&amp;" and Q3TD is "&amp;TEXT(E18,"0.0")&amp;"; the Q3TD comparison remains preliminary.","Q1 "&amp;TEXT(C18,"0.0")&amp;" → Q2 "&amp;TEXT(D18,"0.0")&amp;" → Q3TD "&amp;TEXT(E18,"0.0")&amp;". Pattern: "&amp;LOWER(B18)&amp;"; Q3TD remains partial."))</f>
        <v>Q1 9.0 → Q2 10.7 → Q3TD 11.6. Pattern: sustained increase; Q3TD remains partial.</v>
      </c>
      <c r="I18" s="189" t="str">
        <f>IF(B18="Sustained increase","Which repeatable practices drove improvement from Q1 through Q3TD, and can they be sustained through quarter-end?",IF(B18="Sustained decline","What persistent constraint has reduced productivity since Q1, and what corrective action is planned?",IF(B18="Q3TD recovery","What changed after the Q2 decline, and is the Q3TD recovery supported by enough sprint evidence?",IF(B18="Q3TD reversal","What changed after the Q2 improvement, and is the Q3TD reversal caused by capacity, complexity, dependencies, scope, or timing?",IF(B18="Data gap","When will Q3TD data be available, and should the missing value be treated as pending rather than zero?",IF(B18="No Q1 baseline","Why is Q1 unavailable, and what baseline should be used to assess this application?","What explains the stable or mixed pattern, and what should be monitored in the remaining Q3 sprints?"))))))</f>
        <v>Which repeatable practices drove improvement from Q1 through Q3TD, and can they be sustained through quarter-end?</v>
      </c>
      <c r="J18" s="177"/>
    </row>
    <row r="19" spans="1:10" ht="72.5" x14ac:dyDescent="0.35">
      <c r="A19" s="177" t="str">
        <f>'Pivot Productivity'!A16</f>
        <v>BXT</v>
      </c>
      <c r="B19" s="177" t="str">
        <f>IF(E19="","Data gap",IF(C19="","No Q1 baseline",IF(AND(D19&gt;C19,E19&gt;D19),"Sustained increase",IF(AND(D19&lt;C19,E19&lt;D19),"Sustained decline",IF(AND(D19&lt;C19,E19&gt;D19),"Q3TD recovery",IF(AND(D19&gt;C19,E19&lt;D19),"Q3TD reversal","Stable / mixed"))))))</f>
        <v>Sustained increase</v>
      </c>
      <c r="C19" s="187">
        <f>IF('Pivot Productivity'!D16="","",'Pivot Productivity'!D16)</f>
        <v>6.285000000000001</v>
      </c>
      <c r="D19" s="187">
        <f>IF('Pivot Productivity'!E16="","",'Pivot Productivity'!E16)</f>
        <v>6.7955555555555556</v>
      </c>
      <c r="E19" s="187">
        <f>IF('Pivot Productivity'!F16="","",'Pivot Productivity'!F16)</f>
        <v>9.17</v>
      </c>
      <c r="F19" s="187">
        <f>IF(OR(C19="",D19=""),"",D19-C19)</f>
        <v>0.51055555555555454</v>
      </c>
      <c r="G19" s="187">
        <f>IF(OR(D19="",E19=""),"",E19-D19)</f>
        <v>2.3744444444444444</v>
      </c>
      <c r="H19" s="189" t="str">
        <f>IF(E19="","Q3TD is missing; Q1 was "&amp;TEXT(C19,"0.0")&amp;" and Q2 was "&amp;TEXT(D19,"0.0")&amp;".",IF(C19="","No Q1 baseline. Q2 was "&amp;TEXT(D19,"0.0")&amp;" and Q3TD is "&amp;TEXT(E19,"0.0")&amp;"; the Q3TD comparison remains preliminary.","Q1 "&amp;TEXT(C19,"0.0")&amp;" → Q2 "&amp;TEXT(D19,"0.0")&amp;" → Q3TD "&amp;TEXT(E19,"0.0")&amp;". Pattern: "&amp;LOWER(B19)&amp;"; Q3TD remains partial."))</f>
        <v>Q1 6.3 → Q2 6.8 → Q3TD 9.2. Pattern: sustained increase; Q3TD remains partial.</v>
      </c>
      <c r="I19" s="189" t="str">
        <f>IF(B19="Sustained increase","Which repeatable practices drove improvement from Q1 through Q3TD, and can they be sustained through quarter-end?",IF(B19="Sustained decline","What persistent constraint has reduced productivity since Q1, and what corrective action is planned?",IF(B19="Q3TD recovery","What changed after the Q2 decline, and is the Q3TD recovery supported by enough sprint evidence?",IF(B19="Q3TD reversal","What changed after the Q2 improvement, and is the Q3TD reversal caused by capacity, complexity, dependencies, scope, or timing?",IF(B19="Data gap","When will Q3TD data be available, and should the missing value be treated as pending rather than zero?",IF(B19="No Q1 baseline","Why is Q1 unavailable, and what baseline should be used to assess this application?","What explains the stable or mixed pattern, and what should be monitored in the remaining Q3 sprints?"))))))</f>
        <v>Which repeatable practices drove improvement from Q1 through Q3TD, and can they be sustained through quarter-end?</v>
      </c>
      <c r="J19" s="177"/>
    </row>
    <row r="20" spans="1:10" ht="72.5" x14ac:dyDescent="0.35">
      <c r="A20" s="177" t="str">
        <f>'Pivot Productivity'!A17</f>
        <v>DevOps</v>
      </c>
      <c r="B20" s="177" t="str">
        <f>IF(E20="","Data gap",IF(C20="","No Q1 baseline",IF(AND(D20&gt;C20,E20&gt;D20),"Sustained increase",IF(AND(D20&lt;C20,E20&lt;D20),"Sustained decline",IF(AND(D20&lt;C20,E20&gt;D20),"Q3TD recovery",IF(AND(D20&gt;C20,E20&lt;D20),"Q3TD reversal","Stable / mixed"))))))</f>
        <v>Sustained increase</v>
      </c>
      <c r="C20" s="187">
        <f>IF('Pivot Productivity'!D17="","",'Pivot Productivity'!D17)</f>
        <v>6.285000000000001</v>
      </c>
      <c r="D20" s="187">
        <f>IF('Pivot Productivity'!E17="","",'Pivot Productivity'!E17)</f>
        <v>6.7955555555555556</v>
      </c>
      <c r="E20" s="187">
        <f>IF('Pivot Productivity'!F17="","",'Pivot Productivity'!F17)</f>
        <v>9.17</v>
      </c>
      <c r="F20" s="187">
        <f>IF(OR(C20="",D20=""),"",D20-C20)</f>
        <v>0.51055555555555454</v>
      </c>
      <c r="G20" s="187">
        <f>IF(OR(D20="",E20=""),"",E20-D20)</f>
        <v>2.3744444444444444</v>
      </c>
      <c r="H20" s="189" t="str">
        <f>IF(E20="","Q3TD is missing; Q1 was "&amp;TEXT(C20,"0.0")&amp;" and Q2 was "&amp;TEXT(D20,"0.0")&amp;".",IF(C20="","No Q1 baseline. Q2 was "&amp;TEXT(D20,"0.0")&amp;" and Q3TD is "&amp;TEXT(E20,"0.0")&amp;"; the Q3TD comparison remains preliminary.","Q1 "&amp;TEXT(C20,"0.0")&amp;" → Q2 "&amp;TEXT(D20,"0.0")&amp;" → Q3TD "&amp;TEXT(E20,"0.0")&amp;". Pattern: "&amp;LOWER(B20)&amp;"; Q3TD remains partial."))</f>
        <v>Q1 6.3 → Q2 6.8 → Q3TD 9.2. Pattern: sustained increase; Q3TD remains partial.</v>
      </c>
      <c r="I20" s="189" t="str">
        <f>IF(B20="Sustained increase","Which repeatable practices drove improvement from Q1 through Q3TD, and can they be sustained through quarter-end?",IF(B20="Sustained decline","What persistent constraint has reduced productivity since Q1, and what corrective action is planned?",IF(B20="Q3TD recovery","What changed after the Q2 decline, and is the Q3TD recovery supported by enough sprint evidence?",IF(B20="Q3TD reversal","What changed after the Q2 improvement, and is the Q3TD reversal caused by capacity, complexity, dependencies, scope, or timing?",IF(B20="Data gap","When will Q3TD data be available, and should the missing value be treated as pending rather than zero?",IF(B20="No Q1 baseline","Why is Q1 unavailable, and what baseline should be used to assess this application?","What explains the stable or mixed pattern, and what should be monitored in the remaining Q3 sprints?"))))))</f>
        <v>Which repeatable practices drove improvement from Q1 through Q3TD, and can they be sustained through quarter-end?</v>
      </c>
      <c r="J20" s="177"/>
    </row>
    <row r="21" spans="1:10" ht="58" x14ac:dyDescent="0.35">
      <c r="A21" s="177" t="str">
        <f>'Pivot Productivity'!A18</f>
        <v>Field Experience</v>
      </c>
      <c r="B21" s="177" t="str">
        <f>IF(E21="","Data gap",IF(C21="","No Q1 baseline",IF(AND(D21&gt;C21,E21&gt;D21),"Sustained increase",IF(AND(D21&lt;C21,E21&lt;D21),"Sustained decline",IF(AND(D21&lt;C21,E21&gt;D21),"Q3TD recovery",IF(AND(D21&gt;C21,E21&lt;D21),"Q3TD reversal","Stable / mixed"))))))</f>
        <v>Q3TD recovery</v>
      </c>
      <c r="C21" s="187">
        <f>IF('Pivot Productivity'!D18="","",'Pivot Productivity'!D18)</f>
        <v>7.0857142857142854</v>
      </c>
      <c r="D21" s="187">
        <f>IF('Pivot Productivity'!E18="","",'Pivot Productivity'!E18)</f>
        <v>6.5308888888888887</v>
      </c>
      <c r="E21" s="187">
        <f>IF('Pivot Productivity'!F18="","",'Pivot Productivity'!F18)</f>
        <v>7.4108333333333327</v>
      </c>
      <c r="F21" s="187">
        <f>IF(OR(C21="",D21=""),"",D21-C21)</f>
        <v>-0.55482539682539667</v>
      </c>
      <c r="G21" s="187">
        <f>IF(OR(D21="",E21=""),"",E21-D21)</f>
        <v>0.87994444444444397</v>
      </c>
      <c r="H21" s="189" t="str">
        <f>IF(E21="","Q3TD is missing; Q1 was "&amp;TEXT(C21,"0.0")&amp;" and Q2 was "&amp;TEXT(D21,"0.0")&amp;".",IF(C21="","No Q1 baseline. Q2 was "&amp;TEXT(D21,"0.0")&amp;" and Q3TD is "&amp;TEXT(E21,"0.0")&amp;"; the Q3TD comparison remains preliminary.","Q1 "&amp;TEXT(C21,"0.0")&amp;" → Q2 "&amp;TEXT(D21,"0.0")&amp;" → Q3TD "&amp;TEXT(E21,"0.0")&amp;". Pattern: "&amp;LOWER(B21)&amp;"; Q3TD remains partial."))</f>
        <v>Q1 7.1 → Q2 6.5 → Q3TD 7.4. Pattern: q3td recovery; Q3TD remains partial.</v>
      </c>
      <c r="I21" s="189" t="str">
        <f>IF(B21="Sustained increase","Which repeatable practices drove improvement from Q1 through Q3TD, and can they be sustained through quarter-end?",IF(B21="Sustained decline","What persistent constraint has reduced productivity since Q1, and what corrective action is planned?",IF(B21="Q3TD recovery","What changed after the Q2 decline, and is the Q3TD recovery supported by enough sprint evidence?",IF(B21="Q3TD reversal","What changed after the Q2 improvement, and is the Q3TD reversal caused by capacity, complexity, dependencies, scope, or timing?",IF(B21="Data gap","When will Q3TD data be available, and should the missing value be treated as pending rather than zero?",IF(B21="No Q1 baseline","Why is Q1 unavailable, and what baseline should be used to assess this application?","What explains the stable or mixed pattern, and what should be monitored in the remaining Q3 sprints?"))))))</f>
        <v>What changed after the Q2 decline, and is the Q3TD recovery supported by enough sprint evidence?</v>
      </c>
      <c r="J21" s="177"/>
    </row>
    <row r="22" spans="1:10" ht="58" x14ac:dyDescent="0.35">
      <c r="A22" s="177" t="str">
        <f>'Pivot Productivity'!A19</f>
        <v>NWT - Core</v>
      </c>
      <c r="B22" s="177" t="str">
        <f>IF(E22="","Data gap",IF(C22="","No Q1 baseline",IF(AND(D22&gt;C22,E22&gt;D22),"Sustained increase",IF(AND(D22&lt;C22,E22&lt;D22),"Sustained decline",IF(AND(D22&lt;C22,E22&gt;D22),"Q3TD recovery",IF(AND(D22&gt;C22,E22&lt;D22),"Q3TD reversal","Stable / mixed"))))))</f>
        <v>Data gap</v>
      </c>
      <c r="C22" s="187">
        <f>IF('Pivot Productivity'!D19="","",'Pivot Productivity'!D19)</f>
        <v>8.0599999999999987</v>
      </c>
      <c r="D22" s="187">
        <f>IF('Pivot Productivity'!E19="","",'Pivot Productivity'!E19)</f>
        <v>4.2966666666666669</v>
      </c>
      <c r="E22" s="187" t="str">
        <f>IF('Pivot Productivity'!F19="","",'Pivot Productivity'!F19)</f>
        <v/>
      </c>
      <c r="F22" s="187">
        <f>IF(OR(C22="",D22=""),"",D22-C22)</f>
        <v>-3.7633333333333319</v>
      </c>
      <c r="G22" s="187" t="str">
        <f>IF(OR(D22="",E22=""),"",E22-D22)</f>
        <v/>
      </c>
      <c r="H22" s="189" t="str">
        <f>IF(E22="","Q3TD is missing; Q1 was "&amp;TEXT(C22,"0.0")&amp;" and Q2 was "&amp;TEXT(D22,"0.0")&amp;".",IF(C22="","No Q1 baseline. Q2 was "&amp;TEXT(D22,"0.0")&amp;" and Q3TD is "&amp;TEXT(E22,"0.0")&amp;"; the Q3TD comparison remains preliminary.","Q1 "&amp;TEXT(C22,"0.0")&amp;" → Q2 "&amp;TEXT(D22,"0.0")&amp;" → Q3TD "&amp;TEXT(E22,"0.0")&amp;". Pattern: "&amp;LOWER(B22)&amp;"; Q3TD remains partial."))</f>
        <v>Q3TD is missing; Q1 was 8.1 and Q2 was 4.3.</v>
      </c>
      <c r="I22" s="189" t="str">
        <f>IF(B22="Sustained increase","Which repeatable practices drove improvement from Q1 through Q3TD, and can they be sustained through quarter-end?",IF(B22="Sustained decline","What persistent constraint has reduced productivity since Q1, and what corrective action is planned?",IF(B22="Q3TD recovery","What changed after the Q2 decline, and is the Q3TD recovery supported by enough sprint evidence?",IF(B22="Q3TD reversal","What changed after the Q2 improvement, and is the Q3TD reversal caused by capacity, complexity, dependencies, scope, or timing?",IF(B22="Data gap","When will Q3TD data be available, and should the missing value be treated as pending rather than zero?",IF(B22="No Q1 baseline","Why is Q1 unavailable, and what baseline should be used to assess this application?","What explains the stable or mixed pattern, and what should be monitored in the remaining Q3 sprints?"))))))</f>
        <v>When will Q3TD data be available, and should the missing value be treated as pending rather than zero?</v>
      </c>
      <c r="J22" s="177"/>
    </row>
    <row r="23" spans="1:10" ht="58" x14ac:dyDescent="0.35">
      <c r="A23" s="177" t="str">
        <f>'Pivot Productivity'!A20</f>
        <v>NWT - PSNB</v>
      </c>
      <c r="B23" s="177" t="str">
        <f>IF(E23="","Data gap",IF(C23="","No Q1 baseline",IF(AND(D23&gt;C23,E23&gt;D23),"Sustained increase",IF(AND(D23&lt;C23,E23&lt;D23),"Sustained decline",IF(AND(D23&lt;C23,E23&gt;D23),"Q3TD recovery",IF(AND(D23&gt;C23,E23&lt;D23),"Q3TD reversal","Stable / mixed"))))))</f>
        <v>Sustained decline</v>
      </c>
      <c r="C23" s="187">
        <f>IF('Pivot Productivity'!D20="","",'Pivot Productivity'!D20)</f>
        <v>7.3916666666666666</v>
      </c>
      <c r="D23" s="187">
        <f>IF('Pivot Productivity'!E20="","",'Pivot Productivity'!E20)</f>
        <v>5.875</v>
      </c>
      <c r="E23" s="187">
        <f>IF('Pivot Productivity'!F20="","",'Pivot Productivity'!F20)</f>
        <v>5.5</v>
      </c>
      <c r="F23" s="187">
        <f>IF(OR(C23="",D23=""),"",D23-C23)</f>
        <v>-1.5166666666666666</v>
      </c>
      <c r="G23" s="187">
        <f>IF(OR(D23="",E23=""),"",E23-D23)</f>
        <v>-0.375</v>
      </c>
      <c r="H23" s="189" t="str">
        <f>IF(E23="","Q3TD is missing; Q1 was "&amp;TEXT(C23,"0.0")&amp;" and Q2 was "&amp;TEXT(D23,"0.0")&amp;".",IF(C23="","No Q1 baseline. Q2 was "&amp;TEXT(D23,"0.0")&amp;" and Q3TD is "&amp;TEXT(E23,"0.0")&amp;"; the Q3TD comparison remains preliminary.","Q1 "&amp;TEXT(C23,"0.0")&amp;" → Q2 "&amp;TEXT(D23,"0.0")&amp;" → Q3TD "&amp;TEXT(E23,"0.0")&amp;". Pattern: "&amp;LOWER(B23)&amp;"; Q3TD remains partial."))</f>
        <v>Q1 7.4 → Q2 5.9 → Q3TD 5.5. Pattern: sustained decline; Q3TD remains partial.</v>
      </c>
      <c r="I23" s="189" t="str">
        <f>IF(B23="Sustained increase","Which repeatable practices drove improvement from Q1 through Q3TD, and can they be sustained through quarter-end?",IF(B23="Sustained decline","What persistent constraint has reduced productivity since Q1, and what corrective action is planned?",IF(B23="Q3TD recovery","What changed after the Q2 decline, and is the Q3TD recovery supported by enough sprint evidence?",IF(B23="Q3TD reversal","What changed after the Q2 improvement, and is the Q3TD reversal caused by capacity, complexity, dependencies, scope, or timing?",IF(B23="Data gap","When will Q3TD data be available, and should the missing value be treated as pending rather than zero?",IF(B23="No Q1 baseline","Why is Q1 unavailable, and what baseline should be used to assess this application?","What explains the stable or mixed pattern, and what should be monitored in the remaining Q3 sprints?"))))))</f>
        <v>What persistent constraint has reduced productivity since Q1, and what corrective action is planned?</v>
      </c>
      <c r="J23" s="177"/>
    </row>
    <row r="24" spans="1:10" ht="72.5" x14ac:dyDescent="0.35">
      <c r="A24" s="177" t="str">
        <f>'Pivot Productivity'!A21</f>
        <v>NWT - UI</v>
      </c>
      <c r="B24" s="177" t="str">
        <f>IF(E24="","Data gap",IF(C24="","No Q1 baseline",IF(AND(D24&gt;C24,E24&gt;D24),"Sustained increase",IF(AND(D24&lt;C24,E24&lt;D24),"Sustained decline",IF(AND(D24&lt;C24,E24&gt;D24),"Q3TD recovery",IF(AND(D24&gt;C24,E24&lt;D24),"Q3TD reversal","Stable / mixed"))))))</f>
        <v>Q3TD reversal</v>
      </c>
      <c r="C24" s="187">
        <f>IF('Pivot Productivity'!D21="","",'Pivot Productivity'!D21)</f>
        <v>7.7666666666666666</v>
      </c>
      <c r="D24" s="187">
        <f>IF('Pivot Productivity'!E21="","",'Pivot Productivity'!E21)</f>
        <v>8.4222222222222225</v>
      </c>
      <c r="E24" s="187">
        <f>IF('Pivot Productivity'!F21="","",'Pivot Productivity'!F21)</f>
        <v>8.11</v>
      </c>
      <c r="F24" s="187">
        <f>IF(OR(C24="",D24=""),"",D24-C24)</f>
        <v>0.65555555555555589</v>
      </c>
      <c r="G24" s="187">
        <f>IF(OR(D24="",E24=""),"",E24-D24)</f>
        <v>-0.31222222222222307</v>
      </c>
      <c r="H24" s="189" t="str">
        <f>IF(E24="","Q3TD is missing; Q1 was "&amp;TEXT(C24,"0.0")&amp;" and Q2 was "&amp;TEXT(D24,"0.0")&amp;".",IF(C24="","No Q1 baseline. Q2 was "&amp;TEXT(D24,"0.0")&amp;" and Q3TD is "&amp;TEXT(E24,"0.0")&amp;"; the Q3TD comparison remains preliminary.","Q1 "&amp;TEXT(C24,"0.0")&amp;" → Q2 "&amp;TEXT(D24,"0.0")&amp;" → Q3TD "&amp;TEXT(E24,"0.0")&amp;". Pattern: "&amp;LOWER(B24)&amp;"; Q3TD remains partial."))</f>
        <v>Q1 7.8 → Q2 8.4 → Q3TD 8.1. Pattern: q3td reversal; Q3TD remains partial.</v>
      </c>
      <c r="I24" s="189" t="str">
        <f>IF(B24="Sustained increase","Which repeatable practices drove improvement from Q1 through Q3TD, and can they be sustained through quarter-end?",IF(B24="Sustained decline","What persistent constraint has reduced productivity since Q1, and what corrective action is planned?",IF(B24="Q3TD recovery","What changed after the Q2 decline, and is the Q3TD recovery supported by enough sprint evidence?",IF(B24="Q3TD reversal","What changed after the Q2 improvement, and is the Q3TD reversal caused by capacity, complexity, dependencies, scope, or timing?",IF(B24="Data gap","When will Q3TD data be available, and should the missing value be treated as pending rather than zero?",IF(B24="No Q1 baseline","Why is Q1 unavailable, and what baseline should be used to assess this application?","What explains the stable or mixed pattern, and what should be monitored in the remaining Q3 sprints?"))))))</f>
        <v>What changed after the Q2 improvement, and is the Q3TD reversal caused by capacity, complexity, dependencies, scope, or timing?</v>
      </c>
      <c r="J24" s="177"/>
    </row>
    <row r="25" spans="1:10" ht="72.5" x14ac:dyDescent="0.35">
      <c r="A25" s="177" t="str">
        <f>'Pivot Productivity'!A22</f>
        <v>NWT-FSM</v>
      </c>
      <c r="B25" s="177" t="str">
        <f>IF(E25="","Data gap",IF(C25="","No Q1 baseline",IF(AND(D25&gt;C25,E25&gt;D25),"Sustained increase",IF(AND(D25&lt;C25,E25&lt;D25),"Sustained decline",IF(AND(D25&lt;C25,E25&gt;D25),"Q3TD recovery",IF(AND(D25&gt;C25,E25&lt;D25),"Q3TD reversal","Stable / mixed"))))))</f>
        <v>Sustained increase</v>
      </c>
      <c r="C25" s="187">
        <f>IF('Pivot Productivity'!D22="","",'Pivot Productivity'!D22)</f>
        <v>5.1245238095238097</v>
      </c>
      <c r="D25" s="187">
        <f>IF('Pivot Productivity'!E22="","",'Pivot Productivity'!E22)</f>
        <v>8.0883333333333329</v>
      </c>
      <c r="E25" s="187">
        <f>IF('Pivot Productivity'!F22="","",'Pivot Productivity'!F22)</f>
        <v>9.0333333333333332</v>
      </c>
      <c r="F25" s="187">
        <f>IF(OR(C25="",D25=""),"",D25-C25)</f>
        <v>2.9638095238095232</v>
      </c>
      <c r="G25" s="187">
        <f>IF(OR(D25="",E25=""),"",E25-D25)</f>
        <v>0.94500000000000028</v>
      </c>
      <c r="H25" s="189" t="str">
        <f>IF(E25="","Q3TD is missing; Q1 was "&amp;TEXT(C25,"0.0")&amp;" and Q2 was "&amp;TEXT(D25,"0.0")&amp;".",IF(C25="","No Q1 baseline. Q2 was "&amp;TEXT(D25,"0.0")&amp;" and Q3TD is "&amp;TEXT(E25,"0.0")&amp;"; the Q3TD comparison remains preliminary.","Q1 "&amp;TEXT(C25,"0.0")&amp;" → Q2 "&amp;TEXT(D25,"0.0")&amp;" → Q3TD "&amp;TEXT(E25,"0.0")&amp;". Pattern: "&amp;LOWER(B25)&amp;"; Q3TD remains partial."))</f>
        <v>Q1 5.1 → Q2 8.1 → Q3TD 9.0. Pattern: sustained increase; Q3TD remains partial.</v>
      </c>
      <c r="I25" s="189" t="str">
        <f>IF(B25="Sustained increase","Which repeatable practices drove improvement from Q1 through Q3TD, and can they be sustained through quarter-end?",IF(B25="Sustained decline","What persistent constraint has reduced productivity since Q1, and what corrective action is planned?",IF(B25="Q3TD recovery","What changed after the Q2 decline, and is the Q3TD recovery supported by enough sprint evidence?",IF(B25="Q3TD reversal","What changed after the Q2 improvement, and is the Q3TD reversal caused by capacity, complexity, dependencies, scope, or timing?",IF(B25="Data gap","When will Q3TD data be available, and should the missing value be treated as pending rather than zero?",IF(B25="No Q1 baseline","Why is Q1 unavailable, and what baseline should be used to assess this application?","What explains the stable or mixed pattern, and what should be monitored in the remaining Q3 sprints?"))))))</f>
        <v>Which repeatable practices drove improvement from Q1 through Q3TD, and can they be sustained through quarter-end?</v>
      </c>
      <c r="J25" s="177"/>
    </row>
    <row r="26" spans="1:10" ht="58" x14ac:dyDescent="0.35">
      <c r="A26" s="177" t="str">
        <f>'Pivot Productivity'!A23</f>
        <v>NWT-FSM 2 (NOVA)</v>
      </c>
      <c r="B26" s="177" t="str">
        <f>IF(E26="","Data gap",IF(C26="","No Q1 baseline",IF(AND(D26&gt;C26,E26&gt;D26),"Sustained increase",IF(AND(D26&lt;C26,E26&lt;D26),"Sustained decline",IF(AND(D26&lt;C26,E26&gt;D26),"Q3TD recovery",IF(AND(D26&gt;C26,E26&lt;D26),"Q3TD reversal","Stable / mixed"))))))</f>
        <v>No Q1 baseline</v>
      </c>
      <c r="C26" s="187" t="str">
        <f>IF('Pivot Productivity'!D23="","",'Pivot Productivity'!D23)</f>
        <v/>
      </c>
      <c r="D26" s="187">
        <f>IF('Pivot Productivity'!E23="","",'Pivot Productivity'!E23)</f>
        <v>5.9722222222222223</v>
      </c>
      <c r="E26" s="187">
        <f>IF('Pivot Productivity'!F23="","",'Pivot Productivity'!F23)</f>
        <v>7</v>
      </c>
      <c r="F26" s="187" t="str">
        <f>IF(OR(C26="",D26=""),"",D26-C26)</f>
        <v/>
      </c>
      <c r="G26" s="187">
        <f>IF(OR(D26="",E26=""),"",E26-D26)</f>
        <v>1.0277777777777777</v>
      </c>
      <c r="H26" s="189" t="str">
        <f>IF(E26="","Q3TD is missing; Q1 was "&amp;TEXT(C26,"0.0")&amp;" and Q2 was "&amp;TEXT(D26,"0.0")&amp;".",IF(C26="","No Q1 baseline. Q2 was "&amp;TEXT(D26,"0.0")&amp;" and Q3TD is "&amp;TEXT(E26,"0.0")&amp;"; the Q3TD comparison remains preliminary.","Q1 "&amp;TEXT(C26,"0.0")&amp;" → Q2 "&amp;TEXT(D26,"0.0")&amp;" → Q3TD "&amp;TEXT(E26,"0.0")&amp;". Pattern: "&amp;LOWER(B26)&amp;"; Q3TD remains partial."))</f>
        <v>No Q1 baseline. Q2 was 6.0 and Q3TD is 7.0; the Q3TD comparison remains preliminary.</v>
      </c>
      <c r="I26" s="189" t="str">
        <f>IF(B26="Sustained increase","Which repeatable practices drove improvement from Q1 through Q3TD, and can they be sustained through quarter-end?",IF(B26="Sustained decline","What persistent constraint has reduced productivity since Q1, and what corrective action is planned?",IF(B26="Q3TD recovery","What changed after the Q2 decline, and is the Q3TD recovery supported by enough sprint evidence?",IF(B26="Q3TD reversal","What changed after the Q2 improvement, and is the Q3TD reversal caused by capacity, complexity, dependencies, scope, or timing?",IF(B26="Data gap","When will Q3TD data be available, and should the missing value be treated as pending rather than zero?",IF(B26="No Q1 baseline","Why is Q1 unavailable, and what baseline should be used to assess this application?","What explains the stable or mixed pattern, and what should be monitored in the remaining Q3 sprints?"))))))</f>
        <v>Why is Q1 unavailable, and what baseline should be used to assess this application?</v>
      </c>
      <c r="J26" s="177"/>
    </row>
    <row r="27" spans="1:10" ht="72.5" x14ac:dyDescent="0.35">
      <c r="A27" s="177" t="str">
        <f>'Pivot Productivity'!A24</f>
        <v>Platform</v>
      </c>
      <c r="B27" s="177" t="str">
        <f>IF(E27="","Data gap",IF(C27="","No Q1 baseline",IF(AND(D27&gt;C27,E27&gt;D27),"Sustained increase",IF(AND(D27&lt;C27,E27&lt;D27),"Sustained decline",IF(AND(D27&lt;C27,E27&gt;D27),"Q3TD recovery",IF(AND(D27&gt;C27,E27&lt;D27),"Q3TD reversal","Stable / mixed"))))))</f>
        <v>Sustained increase</v>
      </c>
      <c r="C27" s="187">
        <f>IF('Pivot Productivity'!D24="","",'Pivot Productivity'!D24)</f>
        <v>6.654936507936509</v>
      </c>
      <c r="D27" s="187">
        <f>IF('Pivot Productivity'!E24="","",'Pivot Productivity'!E24)</f>
        <v>8.2755079364973536</v>
      </c>
      <c r="E27" s="187">
        <f>IF('Pivot Productivity'!F24="","",'Pivot Productivity'!F24)</f>
        <v>8.8333015871333345</v>
      </c>
      <c r="F27" s="187">
        <f>IF(OR(C27="",D27=""),"",D27-C27)</f>
        <v>1.6205714285608446</v>
      </c>
      <c r="G27" s="187">
        <f>IF(OR(D27="",E27=""),"",E27-D27)</f>
        <v>0.55779365063598085</v>
      </c>
      <c r="H27" s="189" t="str">
        <f>IF(E27="","Q3TD is missing; Q1 was "&amp;TEXT(C27,"0.0")&amp;" and Q2 was "&amp;TEXT(D27,"0.0")&amp;".",IF(C27="","No Q1 baseline. Q2 was "&amp;TEXT(D27,"0.0")&amp;" and Q3TD is "&amp;TEXT(E27,"0.0")&amp;"; the Q3TD comparison remains preliminary.","Q1 "&amp;TEXT(C27,"0.0")&amp;" → Q2 "&amp;TEXT(D27,"0.0")&amp;" → Q3TD "&amp;TEXT(E27,"0.0")&amp;". Pattern: "&amp;LOWER(B27)&amp;"; Q3TD remains partial."))</f>
        <v>Q1 6.7 → Q2 8.3 → Q3TD 8.8. Pattern: sustained increase; Q3TD remains partial.</v>
      </c>
      <c r="I27" s="189" t="str">
        <f>IF(B27="Sustained increase","Which repeatable practices drove improvement from Q1 through Q3TD, and can they be sustained through quarter-end?",IF(B27="Sustained decline","What persistent constraint has reduced productivity since Q1, and what corrective action is planned?",IF(B27="Q3TD recovery","What changed after the Q2 decline, and is the Q3TD recovery supported by enough sprint evidence?",IF(B27="Q3TD reversal","What changed after the Q2 improvement, and is the Q3TD reversal caused by capacity, complexity, dependencies, scope, or timing?",IF(B27="Data gap","When will Q3TD data be available, and should the missing value be treated as pending rather than zero?",IF(B27="No Q1 baseline","Why is Q1 unavailable, and what baseline should be used to assess this application?","What explains the stable or mixed pattern, and what should be monitored in the remaining Q3 sprints?"))))))</f>
        <v>Which repeatable practices drove improvement from Q1 through Q3TD, and can they be sustained through quarter-end?</v>
      </c>
      <c r="J27" s="177"/>
    </row>
    <row r="28" spans="1:10" ht="72.5" x14ac:dyDescent="0.35">
      <c r="A28" s="177" t="str">
        <f>'Pivot Productivity'!A25</f>
        <v>Celestial (Titan)</v>
      </c>
      <c r="B28" s="177" t="str">
        <f>IF(E28="","Data gap",IF(C28="","No Q1 baseline",IF(AND(D28&gt;C28,E28&gt;D28),"Sustained increase",IF(AND(D28&lt;C28,E28&lt;D28),"Sustained decline",IF(AND(D28&lt;C28,E28&gt;D28),"Q3TD recovery",IF(AND(D28&gt;C28,E28&lt;D28),"Q3TD reversal","Stable / mixed"))))))</f>
        <v>Sustained increase</v>
      </c>
      <c r="C28" s="187">
        <f>IF('Pivot Productivity'!D25="","",'Pivot Productivity'!D25)</f>
        <v>11.828571428571429</v>
      </c>
      <c r="D28" s="187">
        <f>IF('Pivot Productivity'!E25="","",'Pivot Productivity'!E25)</f>
        <v>13.033333333333333</v>
      </c>
      <c r="E28" s="187">
        <f>IF('Pivot Productivity'!F25="","",'Pivot Productivity'!F25)</f>
        <v>14.066666666666668</v>
      </c>
      <c r="F28" s="187">
        <f>IF(OR(C28="",D28=""),"",D28-C28)</f>
        <v>1.204761904761904</v>
      </c>
      <c r="G28" s="187">
        <f>IF(OR(D28="",E28=""),"",E28-D28)</f>
        <v>1.033333333333335</v>
      </c>
      <c r="H28" s="189" t="str">
        <f>IF(E28="","Q3TD is missing; Q1 was "&amp;TEXT(C28,"0.0")&amp;" and Q2 was "&amp;TEXT(D28,"0.0")&amp;".",IF(C28="","No Q1 baseline. Q2 was "&amp;TEXT(D28,"0.0")&amp;" and Q3TD is "&amp;TEXT(E28,"0.0")&amp;"; the Q3TD comparison remains preliminary.","Q1 "&amp;TEXT(C28,"0.0")&amp;" → Q2 "&amp;TEXT(D28,"0.0")&amp;" → Q3TD "&amp;TEXT(E28,"0.0")&amp;". Pattern: "&amp;LOWER(B28)&amp;"; Q3TD remains partial."))</f>
        <v>Q1 11.8 → Q2 13.0 → Q3TD 14.1. Pattern: sustained increase; Q3TD remains partial.</v>
      </c>
      <c r="I28" s="189" t="str">
        <f>IF(B28="Sustained increase","Which repeatable practices drove improvement from Q1 through Q3TD, and can they be sustained through quarter-end?",IF(B28="Sustained decline","What persistent constraint has reduced productivity since Q1, and what corrective action is planned?",IF(B28="Q3TD recovery","What changed after the Q2 decline, and is the Q3TD recovery supported by enough sprint evidence?",IF(B28="Q3TD reversal","What changed after the Q2 improvement, and is the Q3TD reversal caused by capacity, complexity, dependencies, scope, or timing?",IF(B28="Data gap","When will Q3TD data be available, and should the missing value be treated as pending rather than zero?",IF(B28="No Q1 baseline","Why is Q1 unavailable, and what baseline should be used to assess this application?","What explains the stable or mixed pattern, and what should be monitored in the remaining Q3 sprints?"))))))</f>
        <v>Which repeatable practices drove improvement from Q1 through Q3TD, and can they be sustained through quarter-end?</v>
      </c>
      <c r="J28" s="177"/>
    </row>
    <row r="29" spans="1:10" ht="72.5" x14ac:dyDescent="0.35">
      <c r="A29" s="177" t="str">
        <f>'Pivot Productivity'!A26</f>
        <v>Celestial (Universal)</v>
      </c>
      <c r="B29" s="177" t="str">
        <f>IF(E29="","Data gap",IF(C29="","No Q1 baseline",IF(AND(D29&gt;C29,E29&gt;D29),"Sustained increase",IF(AND(D29&lt;C29,E29&lt;D29),"Sustained decline",IF(AND(D29&lt;C29,E29&gt;D29),"Q3TD recovery",IF(AND(D29&gt;C29,E29&lt;D29),"Q3TD reversal","Stable / mixed"))))))</f>
        <v>Sustained increase</v>
      </c>
      <c r="C29" s="187">
        <f>IF('Pivot Productivity'!D26="","",'Pivot Productivity'!D26)</f>
        <v>8.8733333333333331</v>
      </c>
      <c r="D29" s="187">
        <f>IF('Pivot Productivity'!E26="","",'Pivot Productivity'!E26)</f>
        <v>9.4514285713571429</v>
      </c>
      <c r="E29" s="187">
        <f>IF('Pivot Productivity'!F26="","",'Pivot Productivity'!F26)</f>
        <v>10.190952380000001</v>
      </c>
      <c r="F29" s="187">
        <f>IF(OR(C29="",D29=""),"",D29-C29)</f>
        <v>0.5780952380238098</v>
      </c>
      <c r="G29" s="187">
        <f>IF(OR(D29="",E29=""),"",E29-D29)</f>
        <v>0.73952380864285772</v>
      </c>
      <c r="H29" s="189" t="str">
        <f>IF(E29="","Q3TD is missing; Q1 was "&amp;TEXT(C29,"0.0")&amp;" and Q2 was "&amp;TEXT(D29,"0.0")&amp;".",IF(C29="","No Q1 baseline. Q2 was "&amp;TEXT(D29,"0.0")&amp;" and Q3TD is "&amp;TEXT(E29,"0.0")&amp;"; the Q3TD comparison remains preliminary.","Q1 "&amp;TEXT(C29,"0.0")&amp;" → Q2 "&amp;TEXT(D29,"0.0")&amp;" → Q3TD "&amp;TEXT(E29,"0.0")&amp;". Pattern: "&amp;LOWER(B29)&amp;"; Q3TD remains partial."))</f>
        <v>Q1 8.9 → Q2 9.5 → Q3TD 10.2. Pattern: sustained increase; Q3TD remains partial.</v>
      </c>
      <c r="I29" s="189" t="str">
        <f>IF(B29="Sustained increase","Which repeatable practices drove improvement from Q1 through Q3TD, and can they be sustained through quarter-end?",IF(B29="Sustained decline","What persistent constraint has reduced productivity since Q1, and what corrective action is planned?",IF(B29="Q3TD recovery","What changed after the Q2 decline, and is the Q3TD recovery supported by enough sprint evidence?",IF(B29="Q3TD reversal","What changed after the Q2 improvement, and is the Q3TD reversal caused by capacity, complexity, dependencies, scope, or timing?",IF(B29="Data gap","When will Q3TD data be available, and should the missing value be treated as pending rather than zero?",IF(B29="No Q1 baseline","Why is Q1 unavailable, and what baseline should be used to assess this application?","What explains the stable or mixed pattern, and what should be monitored in the remaining Q3 sprints?"))))))</f>
        <v>Which repeatable practices drove improvement from Q1 through Q3TD, and can they be sustained through quarter-end?</v>
      </c>
      <c r="J29" s="177"/>
    </row>
    <row r="30" spans="1:10" ht="58" x14ac:dyDescent="0.35">
      <c r="A30" s="177" t="str">
        <f>'Pivot Productivity'!A27</f>
        <v>Flow Engine (optimus)</v>
      </c>
      <c r="B30" s="177" t="str">
        <f>IF(E30="","Data gap",IF(C30="","No Q1 baseline",IF(AND(D30&gt;C30,E30&gt;D30),"Sustained increase",IF(AND(D30&lt;C30,E30&lt;D30),"Sustained decline",IF(AND(D30&lt;C30,E30&gt;D30),"Q3TD recovery",IF(AND(D30&gt;C30,E30&lt;D30),"Q3TD reversal","Stable / mixed"))))))</f>
        <v>Q3TD recovery</v>
      </c>
      <c r="C30" s="187">
        <f>IF('Pivot Productivity'!D27="","",'Pivot Productivity'!D27)</f>
        <v>4.416666666666667</v>
      </c>
      <c r="D30" s="187">
        <f>IF('Pivot Productivity'!E27="","",'Pivot Productivity'!E27)</f>
        <v>4.291666666666667</v>
      </c>
      <c r="E30" s="187">
        <f>IF('Pivot Productivity'!F27="","",'Pivot Productivity'!F27)</f>
        <v>4.5</v>
      </c>
      <c r="F30" s="187">
        <f>IF(OR(C30="",D30=""),"",D30-C30)</f>
        <v>-0.125</v>
      </c>
      <c r="G30" s="187">
        <f>IF(OR(D30="",E30=""),"",E30-D30)</f>
        <v>0.20833333333333304</v>
      </c>
      <c r="H30" s="189" t="str">
        <f>IF(E30="","Q3TD is missing; Q1 was "&amp;TEXT(C30,"0.0")&amp;" and Q2 was "&amp;TEXT(D30,"0.0")&amp;".",IF(C30="","No Q1 baseline. Q2 was "&amp;TEXT(D30,"0.0")&amp;" and Q3TD is "&amp;TEXT(E30,"0.0")&amp;"; the Q3TD comparison remains preliminary.","Q1 "&amp;TEXT(C30,"0.0")&amp;" → Q2 "&amp;TEXT(D30,"0.0")&amp;" → Q3TD "&amp;TEXT(E30,"0.0")&amp;". Pattern: "&amp;LOWER(B30)&amp;"; Q3TD remains partial."))</f>
        <v>Q1 4.4 → Q2 4.3 → Q3TD 4.5. Pattern: q3td recovery; Q3TD remains partial.</v>
      </c>
      <c r="I30" s="189" t="str">
        <f>IF(B30="Sustained increase","Which repeatable practices drove improvement from Q1 through Q3TD, and can they be sustained through quarter-end?",IF(B30="Sustained decline","What persistent constraint has reduced productivity since Q1, and what corrective action is planned?",IF(B30="Q3TD recovery","What changed after the Q2 decline, and is the Q3TD recovery supported by enough sprint evidence?",IF(B30="Q3TD reversal","What changed after the Q2 improvement, and is the Q3TD reversal caused by capacity, complexity, dependencies, scope, or timing?",IF(B30="Data gap","When will Q3TD data be available, and should the missing value be treated as pending rather than zero?",IF(B30="No Q1 baseline","Why is Q1 unavailable, and what baseline should be used to assess this application?","What explains the stable or mixed pattern, and what should be monitored in the remaining Q3 sprints?"))))))</f>
        <v>What changed after the Q2 decline, and is the Q3TD recovery supported by enough sprint evidence?</v>
      </c>
      <c r="J30" s="177"/>
    </row>
    <row r="31" spans="1:10" ht="72.5" x14ac:dyDescent="0.35">
      <c r="A31" s="177" t="str">
        <f>'Pivot Productivity'!A28</f>
        <v>Flow Engine (prometheus)</v>
      </c>
      <c r="B31" s="177" t="str">
        <f>IF(E31="","Data gap",IF(C31="","No Q1 baseline",IF(AND(D31&gt;C31,E31&gt;D31),"Sustained increase",IF(AND(D31&lt;C31,E31&lt;D31),"Sustained decline",IF(AND(D31&lt;C31,E31&gt;D31),"Q3TD recovery",IF(AND(D31&gt;C31,E31&lt;D31),"Q3TD reversal","Stable / mixed"))))))</f>
        <v>Sustained increase</v>
      </c>
      <c r="C31" s="187">
        <f>IF('Pivot Productivity'!D28="","",'Pivot Productivity'!D28)</f>
        <v>3.9066666666666663</v>
      </c>
      <c r="D31" s="187">
        <f>IF('Pivot Productivity'!E28="","",'Pivot Productivity'!E28)</f>
        <v>4.6011111111296303</v>
      </c>
      <c r="E31" s="187">
        <f>IF('Pivot Productivity'!F28="","",'Pivot Productivity'!F28)</f>
        <v>5.408888889</v>
      </c>
      <c r="F31" s="187">
        <f>IF(OR(C31="",D31=""),"",D31-C31)</f>
        <v>0.69444444446296405</v>
      </c>
      <c r="G31" s="187">
        <f>IF(OR(D31="",E31=""),"",E31-D31)</f>
        <v>0.80777777787036964</v>
      </c>
      <c r="H31" s="189" t="str">
        <f>IF(E31="","Q3TD is missing; Q1 was "&amp;TEXT(C31,"0.0")&amp;" and Q2 was "&amp;TEXT(D31,"0.0")&amp;".",IF(C31="","No Q1 baseline. Q2 was "&amp;TEXT(D31,"0.0")&amp;" and Q3TD is "&amp;TEXT(E31,"0.0")&amp;"; the Q3TD comparison remains preliminary.","Q1 "&amp;TEXT(C31,"0.0")&amp;" → Q2 "&amp;TEXT(D31,"0.0")&amp;" → Q3TD "&amp;TEXT(E31,"0.0")&amp;". Pattern: "&amp;LOWER(B31)&amp;"; Q3TD remains partial."))</f>
        <v>Q1 3.9 → Q2 4.6 → Q3TD 5.4. Pattern: sustained increase; Q3TD remains partial.</v>
      </c>
      <c r="I31" s="189" t="str">
        <f>IF(B31="Sustained increase","Which repeatable practices drove improvement from Q1 through Q3TD, and can they be sustained through quarter-end?",IF(B31="Sustained decline","What persistent constraint has reduced productivity since Q1, and what corrective action is planned?",IF(B31="Q3TD recovery","What changed after the Q2 decline, and is the Q3TD recovery supported by enough sprint evidence?",IF(B31="Q3TD reversal","What changed after the Q2 improvement, and is the Q3TD reversal caused by capacity, complexity, dependencies, scope, or timing?",IF(B31="Data gap","When will Q3TD data be available, and should the missing value be treated as pending rather than zero?",IF(B31="No Q1 baseline","Why is Q1 unavailable, and what baseline should be used to assess this application?","What explains the stable or mixed pattern, and what should be monitored in the remaining Q3 sprints?"))))))</f>
        <v>Which repeatable practices drove improvement from Q1 through Q3TD, and can they be sustained through quarter-end?</v>
      </c>
      <c r="J31" s="177"/>
    </row>
    <row r="32" spans="1:10" ht="58" x14ac:dyDescent="0.35">
      <c r="A32" s="177" t="str">
        <f>'Pivot Productivity'!A29</f>
        <v>Right Answers</v>
      </c>
      <c r="B32" s="177" t="str">
        <f>IF(E32="","Data gap",IF(C32="","No Q1 baseline",IF(AND(D32&gt;C32,E32&gt;D32),"Sustained increase",IF(AND(D32&lt;C32,E32&lt;D32),"Sustained decline",IF(AND(D32&lt;C32,E32&gt;D32),"Q3TD recovery",IF(AND(D32&gt;C32,E32&lt;D32),"Q3TD reversal","Stable / mixed"))))))</f>
        <v>Stable / mixed</v>
      </c>
      <c r="C32" s="187">
        <f>IF('Pivot Productivity'!D29="","",'Pivot Productivity'!D29)</f>
        <v>4.2494444444444444</v>
      </c>
      <c r="D32" s="187">
        <f>IF('Pivot Productivity'!E29="","",'Pivot Productivity'!E29)</f>
        <v>10</v>
      </c>
      <c r="E32" s="187">
        <f>IF('Pivot Productivity'!F29="","",'Pivot Productivity'!F29)</f>
        <v>10</v>
      </c>
      <c r="F32" s="187">
        <f>IF(OR(C32="",D32=""),"",D32-C32)</f>
        <v>5.7505555555555556</v>
      </c>
      <c r="G32" s="187">
        <f>IF(OR(D32="",E32=""),"",E32-D32)</f>
        <v>0</v>
      </c>
      <c r="H32" s="189" t="str">
        <f>IF(E32="","Q3TD is missing; Q1 was "&amp;TEXT(C32,"0.0")&amp;" and Q2 was "&amp;TEXT(D32,"0.0")&amp;".",IF(C32="","No Q1 baseline. Q2 was "&amp;TEXT(D32,"0.0")&amp;" and Q3TD is "&amp;TEXT(E32,"0.0")&amp;"; the Q3TD comparison remains preliminary.","Q1 "&amp;TEXT(C32,"0.0")&amp;" → Q2 "&amp;TEXT(D32,"0.0")&amp;" → Q3TD "&amp;TEXT(E32,"0.0")&amp;". Pattern: "&amp;LOWER(B32)&amp;"; Q3TD remains partial."))</f>
        <v>Q1 4.2 → Q2 10.0 → Q3TD 10.0. Pattern: stable / mixed; Q3TD remains partial.</v>
      </c>
      <c r="I32" s="189" t="str">
        <f>IF(B32="Sustained increase","Which repeatable practices drove improvement from Q1 through Q3TD, and can they be sustained through quarter-end?",IF(B32="Sustained decline","What persistent constraint has reduced productivity since Q1, and what corrective action is planned?",IF(B32="Q3TD recovery","What changed after the Q2 decline, and is the Q3TD recovery supported by enough sprint evidence?",IF(B32="Q3TD reversal","What changed after the Q2 improvement, and is the Q3TD reversal caused by capacity, complexity, dependencies, scope, or timing?",IF(B32="Data gap","When will Q3TD data be available, and should the missing value be treated as pending rather than zero?",IF(B32="No Q1 baseline","Why is Q1 unavailable, and what baseline should be used to assess this application?","What explains the stable or mixed pattern, and what should be monitored in the remaining Q3 sprints?"))))))</f>
        <v>What explains the stable or mixed pattern, and what should be monitored in the remaining Q3 sprints?</v>
      </c>
      <c r="J32" s="177"/>
    </row>
    <row r="33" spans="1:10" ht="72.5" x14ac:dyDescent="0.35">
      <c r="A33" s="177" t="str">
        <f>'Pivot Productivity'!A30</f>
        <v>XRM</v>
      </c>
      <c r="B33" s="177" t="str">
        <f>IF(E33="","Data gap",IF(C33="","No Q1 baseline",IF(AND(D33&gt;C33,E33&gt;D33),"Sustained increase",IF(AND(D33&lt;C33,E33&lt;D33),"Sustained decline",IF(AND(D33&lt;C33,E33&gt;D33),"Q3TD recovery",IF(AND(D33&gt;C33,E33&lt;D33),"Q3TD reversal","Stable / mixed"))))))</f>
        <v>Q3TD reversal</v>
      </c>
      <c r="C33" s="187">
        <f>IF('Pivot Productivity'!D30="","",'Pivot Productivity'!D30)</f>
        <v>5.7248821548821534</v>
      </c>
      <c r="D33" s="187">
        <f>IF('Pivot Productivity'!E30="","",'Pivot Productivity'!E30)</f>
        <v>5.9776262626414152</v>
      </c>
      <c r="E33" s="187">
        <f>IF('Pivot Productivity'!F30="","",'Pivot Productivity'!F30)</f>
        <v>5.7534343434444439</v>
      </c>
      <c r="F33" s="187">
        <f>IF(OR(C33="",D33=""),"",D33-C33)</f>
        <v>0.25274410775926182</v>
      </c>
      <c r="G33" s="187">
        <f>IF(OR(D33="",E33=""),"",E33-D33)</f>
        <v>-0.22419191919697123</v>
      </c>
      <c r="H33" s="189" t="str">
        <f>IF(E33="","Q3TD is missing; Q1 was "&amp;TEXT(C33,"0.0")&amp;" and Q2 was "&amp;TEXT(D33,"0.0")&amp;".",IF(C33="","No Q1 baseline. Q2 was "&amp;TEXT(D33,"0.0")&amp;" and Q3TD is "&amp;TEXT(E33,"0.0")&amp;"; the Q3TD comparison remains preliminary.","Q1 "&amp;TEXT(C33,"0.0")&amp;" → Q2 "&amp;TEXT(D33,"0.0")&amp;" → Q3TD "&amp;TEXT(E33,"0.0")&amp;". Pattern: "&amp;LOWER(B33)&amp;"; Q3TD remains partial."))</f>
        <v>Q1 5.7 → Q2 6.0 → Q3TD 5.8. Pattern: q3td reversal; Q3TD remains partial.</v>
      </c>
      <c r="I33" s="189" t="str">
        <f>IF(B33="Sustained increase","Which repeatable practices drove improvement from Q1 through Q3TD, and can they be sustained through quarter-end?",IF(B33="Sustained decline","What persistent constraint has reduced productivity since Q1, and what corrective action is planned?",IF(B33="Q3TD recovery","What changed after the Q2 decline, and is the Q3TD recovery supported by enough sprint evidence?",IF(B33="Q3TD reversal","What changed after the Q2 improvement, and is the Q3TD reversal caused by capacity, complexity, dependencies, scope, or timing?",IF(B33="Data gap","When will Q3TD data be available, and should the missing value be treated as pending rather than zero?",IF(B33="No Q1 baseline","Why is Q1 unavailable, and what baseline should be used to assess this application?","What explains the stable or mixed pattern, and what should be monitored in the remaining Q3 sprints?"))))))</f>
        <v>What changed after the Q2 improvement, and is the Q3TD reversal caused by capacity, complexity, dependencies, scope, or timing?</v>
      </c>
      <c r="J33" s="177"/>
    </row>
    <row r="34" spans="1:10" ht="72.5" x14ac:dyDescent="0.35">
      <c r="A34" s="177" t="str">
        <f>'Pivot Productivity'!A31</f>
        <v>XRM - HSD Scrum</v>
      </c>
      <c r="B34" s="177" t="str">
        <f>IF(E34="","Data gap",IF(C34="","No Q1 baseline",IF(AND(D34&gt;C34,E34&gt;D34),"Sustained increase",IF(AND(D34&lt;C34,E34&lt;D34),"Sustained decline",IF(AND(D34&lt;C34,E34&gt;D34),"Q3TD recovery",IF(AND(D34&gt;C34,E34&lt;D34),"Q3TD reversal","Stable / mixed"))))))</f>
        <v>Q3TD reversal</v>
      </c>
      <c r="C34" s="187">
        <f>IF('Pivot Productivity'!D31="","",'Pivot Productivity'!D31)</f>
        <v>4.8905555555555553</v>
      </c>
      <c r="D34" s="187">
        <f>IF('Pivot Productivity'!E31="","",'Pivot Productivity'!E31)</f>
        <v>5.6742424242424248</v>
      </c>
      <c r="E34" s="187">
        <f>IF('Pivot Productivity'!F31="","",'Pivot Productivity'!F31)</f>
        <v>4.6333333333333337</v>
      </c>
      <c r="F34" s="187">
        <f>IF(OR(C34="",D34=""),"",D34-C34)</f>
        <v>0.78368686868686943</v>
      </c>
      <c r="G34" s="187">
        <f>IF(OR(D34="",E34=""),"",E34-D34)</f>
        <v>-1.040909090909091</v>
      </c>
      <c r="H34" s="189" t="str">
        <f>IF(E34="","Q3TD is missing; Q1 was "&amp;TEXT(C34,"0.0")&amp;" and Q2 was "&amp;TEXT(D34,"0.0")&amp;".",IF(C34="","No Q1 baseline. Q2 was "&amp;TEXT(D34,"0.0")&amp;" and Q3TD is "&amp;TEXT(E34,"0.0")&amp;"; the Q3TD comparison remains preliminary.","Q1 "&amp;TEXT(C34,"0.0")&amp;" → Q2 "&amp;TEXT(D34,"0.0")&amp;" → Q3TD "&amp;TEXT(E34,"0.0")&amp;". Pattern: "&amp;LOWER(B34)&amp;"; Q3TD remains partial."))</f>
        <v>Q1 4.9 → Q2 5.7 → Q3TD 4.6. Pattern: q3td reversal; Q3TD remains partial.</v>
      </c>
      <c r="I34" s="189" t="str">
        <f>IF(B34="Sustained increase","Which repeatable practices drove improvement from Q1 through Q3TD, and can they be sustained through quarter-end?",IF(B34="Sustained decline","What persistent constraint has reduced productivity since Q1, and what corrective action is planned?",IF(B34="Q3TD recovery","What changed after the Q2 decline, and is the Q3TD recovery supported by enough sprint evidence?",IF(B34="Q3TD reversal","What changed after the Q2 improvement, and is the Q3TD reversal caused by capacity, complexity, dependencies, scope, or timing?",IF(B34="Data gap","When will Q3TD data be available, and should the missing value be treated as pending rather than zero?",IF(B34="No Q1 baseline","Why is Q1 unavailable, and what baseline should be used to assess this application?","What explains the stable or mixed pattern, and what should be monitored in the remaining Q3 sprints?"))))))</f>
        <v>What changed after the Q2 improvement, and is the Q3TD reversal caused by capacity, complexity, dependencies, scope, or timing?</v>
      </c>
      <c r="J34" s="177"/>
    </row>
    <row r="35" spans="1:10" ht="58" x14ac:dyDescent="0.35">
      <c r="A35" s="177" t="str">
        <f>'Pivot Productivity'!A32</f>
        <v>XRM - Video Scrum</v>
      </c>
      <c r="B35" s="177" t="str">
        <f>IF(E35="","Data gap",IF(C35="","No Q1 baseline",IF(AND(D35&gt;C35,E35&gt;D35),"Sustained increase",IF(AND(D35&lt;C35,E35&lt;D35),"Sustained decline",IF(AND(D35&lt;C35,E35&gt;D35),"Q3TD recovery",IF(AND(D35&gt;C35,E35&lt;D35),"Q3TD reversal","Stable / mixed"))))))</f>
        <v>Q3TD recovery</v>
      </c>
      <c r="C35" s="187">
        <f>IF('Pivot Productivity'!D32="","",'Pivot Productivity'!D32)</f>
        <v>6.4148484848484841</v>
      </c>
      <c r="D35" s="187">
        <f>IF('Pivot Productivity'!E32="","",'Pivot Productivity'!E32)</f>
        <v>6.3919696970151518</v>
      </c>
      <c r="E35" s="187">
        <f>IF('Pivot Productivity'!F32="","",'Pivot Productivity'!F32)</f>
        <v>7.0603030303333334</v>
      </c>
      <c r="F35" s="187">
        <f>IF(OR(C35="",D35=""),"",D35-C35)</f>
        <v>-2.2878787833332304E-2</v>
      </c>
      <c r="G35" s="187">
        <f>IF(OR(D35="",E35=""),"",E35-D35)</f>
        <v>0.66833333331818157</v>
      </c>
      <c r="H35" s="189" t="str">
        <f>IF(E35="","Q3TD is missing; Q1 was "&amp;TEXT(C35,"0.0")&amp;" and Q2 was "&amp;TEXT(D35,"0.0")&amp;".",IF(C35="","No Q1 baseline. Q2 was "&amp;TEXT(D35,"0.0")&amp;" and Q3TD is "&amp;TEXT(E35,"0.0")&amp;"; the Q3TD comparison remains preliminary.","Q1 "&amp;TEXT(C35,"0.0")&amp;" → Q2 "&amp;TEXT(D35,"0.0")&amp;" → Q3TD "&amp;TEXT(E35,"0.0")&amp;". Pattern: "&amp;LOWER(B35)&amp;"; Q3TD remains partial."))</f>
        <v>Q1 6.4 → Q2 6.4 → Q3TD 7.1. Pattern: q3td recovery; Q3TD remains partial.</v>
      </c>
      <c r="I35" s="189" t="str">
        <f>IF(B35="Sustained increase","Which repeatable practices drove improvement from Q1 through Q3TD, and can they be sustained through quarter-end?",IF(B35="Sustained decline","What persistent constraint has reduced productivity since Q1, and what corrective action is planned?",IF(B35="Q3TD recovery","What changed after the Q2 decline, and is the Q3TD recovery supported by enough sprint evidence?",IF(B35="Q3TD reversal","What changed after the Q2 improvement, and is the Q3TD reversal caused by capacity, complexity, dependencies, scope, or timing?",IF(B35="Data gap","When will Q3TD data be available, and should the missing value be treated as pending rather than zero?",IF(B35="No Q1 baseline","Why is Q1 unavailable, and what baseline should be used to assess this application?","What explains the stable or mixed pattern, and what should be monitored in the remaining Q3 sprints?"))))))</f>
        <v>What changed after the Q2 decline, and is the Q3TD recovery supported by enough sprint evidence?</v>
      </c>
      <c r="J35" s="177"/>
    </row>
    <row r="36" spans="1:10" ht="58" x14ac:dyDescent="0.35">
      <c r="A36" s="177" t="str">
        <f>'Pivot Productivity'!A33</f>
        <v>XRM - VOIXM Scrum</v>
      </c>
      <c r="B36" s="177" t="str">
        <f>IF(E36="","Data gap",IF(C36="","No Q1 baseline",IF(AND(D36&gt;C36,E36&gt;D36),"Sustained increase",IF(AND(D36&lt;C36,E36&lt;D36),"Sustained decline",IF(AND(D36&lt;C36,E36&gt;D36),"Q3TD recovery",IF(AND(D36&gt;C36,E36&lt;D36),"Q3TD reversal","Stable / mixed"))))))</f>
        <v>Sustained decline</v>
      </c>
      <c r="C36" s="187">
        <f>IF('Pivot Productivity'!D33="","",'Pivot Productivity'!D33)</f>
        <v>5.8692424242424233</v>
      </c>
      <c r="D36" s="187">
        <f>IF('Pivot Productivity'!E33="","",'Pivot Productivity'!E33)</f>
        <v>5.8666666666666671</v>
      </c>
      <c r="E36" s="187">
        <f>IF('Pivot Productivity'!F33="","",'Pivot Productivity'!F33)</f>
        <v>5.5666666666666673</v>
      </c>
      <c r="F36" s="187">
        <f>IF(OR(C36="",D36=""),"",D36-C36)</f>
        <v>-2.5757575757561213E-3</v>
      </c>
      <c r="G36" s="187">
        <f>IF(OR(D36="",E36=""),"",E36-D36)</f>
        <v>-0.29999999999999982</v>
      </c>
      <c r="H36" s="189" t="str">
        <f>IF(E36="","Q3TD is missing; Q1 was "&amp;TEXT(C36,"0.0")&amp;" and Q2 was "&amp;TEXT(D36,"0.0")&amp;".",IF(C36="","No Q1 baseline. Q2 was "&amp;TEXT(D36,"0.0")&amp;" and Q3TD is "&amp;TEXT(E36,"0.0")&amp;"; the Q3TD comparison remains preliminary.","Q1 "&amp;TEXT(C36,"0.0")&amp;" → Q2 "&amp;TEXT(D36,"0.0")&amp;" → Q3TD "&amp;TEXT(E36,"0.0")&amp;". Pattern: "&amp;LOWER(B36)&amp;"; Q3TD remains partial."))</f>
        <v>Q1 5.9 → Q2 5.9 → Q3TD 5.6. Pattern: sustained decline; Q3TD remains partial.</v>
      </c>
      <c r="I36" s="189" t="str">
        <f>IF(B36="Sustained increase","Which repeatable practices drove improvement from Q1 through Q3TD, and can they be sustained through quarter-end?",IF(B36="Sustained decline","What persistent constraint has reduced productivity since Q1, and what corrective action is planned?",IF(B36="Q3TD recovery","What changed after the Q2 decline, and is the Q3TD recovery supported by enough sprint evidence?",IF(B36="Q3TD reversal","What changed after the Q2 improvement, and is the Q3TD reversal caused by capacity, complexity, dependencies, scope, or timing?",IF(B36="Data gap","When will Q3TD data be available, and should the missing value be treated as pending rather than zero?",IF(B36="No Q1 baseline","Why is Q1 unavailable, and what baseline should be used to assess this application?","What explains the stable or mixed pattern, and what should be monitored in the remaining Q3 sprints?"))))))</f>
        <v>What persistent constraint has reduced productivity since Q1, and what corrective action is planned?</v>
      </c>
      <c r="J36" s="177"/>
    </row>
  </sheetData>
  <mergeCells count="2">
    <mergeCell ref="A1:J1"/>
    <mergeCell ref="A2:J2"/>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96D1DE775907E49AD88F8ED8820A16B" ma:contentTypeVersion="13" ma:contentTypeDescription="Create a new document." ma:contentTypeScope="" ma:versionID="341546dc956c484c69c704d4fcc9cb8e">
  <xsd:schema xmlns:xsd="http://www.w3.org/2001/XMLSchema" xmlns:xs="http://www.w3.org/2001/XMLSchema" xmlns:p="http://schemas.microsoft.com/office/2006/metadata/properties" xmlns:ns2="a7defb63-ff2c-4a98-bcce-f8cb1e38daca" xmlns:ns3="5608684c-a1cd-442c-8d7b-d7406a3c3dd6" targetNamespace="http://schemas.microsoft.com/office/2006/metadata/properties" ma:root="true" ma:fieldsID="d23058e718a42447be665187320bebe2" ns2:_="" ns3:_="">
    <xsd:import namespace="a7defb63-ff2c-4a98-bcce-f8cb1e38daca"/>
    <xsd:import namespace="5608684c-a1cd-442c-8d7b-d7406a3c3dd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7defb63-ff2c-4a98-bcce-f8cb1e38da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3623ea3-be23-4189-a25b-bcadb097ef1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608684c-a1cd-442c-8d7b-d7406a3c3dd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d0e4734-2cc9-46f8-8704-f117f54d3e2d}" ma:internalName="TaxCatchAll" ma:showField="CatchAllData" ma:web="5608684c-a1cd-442c-8d7b-d7406a3c3dd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608684c-a1cd-442c-8d7b-d7406a3c3dd6" xsi:nil="true"/>
    <lcf76f155ced4ddcb4097134ff3c332f xmlns="a7defb63-ff2c-4a98-bcce-f8cb1e38daca">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677EE40-347A-498B-B465-EF2238292F8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7defb63-ff2c-4a98-bcce-f8cb1e38daca"/>
    <ds:schemaRef ds:uri="5608684c-a1cd-442c-8d7b-d7406a3c3dd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08280ED-CC6B-4110-8208-957F727D125B}">
  <ds:schemaRefs>
    <ds:schemaRef ds:uri="http://purl.org/dc/elements/1.1/"/>
    <ds:schemaRef ds:uri="http://purl.org/dc/dcmitype/"/>
    <ds:schemaRef ds:uri="http://purl.org/dc/terms/"/>
    <ds:schemaRef ds:uri="5608684c-a1cd-442c-8d7b-d7406a3c3dd6"/>
    <ds:schemaRef ds:uri="http://schemas.openxmlformats.org/package/2006/metadata/core-properties"/>
    <ds:schemaRef ds:uri="http://schemas.microsoft.com/office/2006/metadata/properties"/>
    <ds:schemaRef ds:uri="http://www.w3.org/XML/1998/namespace"/>
    <ds:schemaRef ds:uri="http://schemas.microsoft.com/office/infopath/2007/PartnerControls"/>
    <ds:schemaRef ds:uri="http://schemas.microsoft.com/office/2006/documentManagement/types"/>
    <ds:schemaRef ds:uri="a7defb63-ff2c-4a98-bcce-f8cb1e38daca"/>
  </ds:schemaRefs>
</ds:datastoreItem>
</file>

<file path=customXml/itemProps3.xml><?xml version="1.0" encoding="utf-8"?>
<ds:datastoreItem xmlns:ds="http://schemas.openxmlformats.org/officeDocument/2006/customXml" ds:itemID="{267B6165-4E52-4CF3-9D51-1CD15E98AF80}">
  <ds:schemaRefs>
    <ds:schemaRef ds:uri="http://schemas.microsoft.com/sharepoint/v3/contenttype/forms"/>
  </ds:schemaRefs>
</ds:datastoreItem>
</file>

<file path=docMetadata/LabelInfo.xml><?xml version="1.0" encoding="utf-8"?>
<clbl:labelList xmlns:clbl="http://schemas.microsoft.com/office/2020/mipLabelMetadata">
  <clbl:label id="{e760c494-6550-44b4-8258-77c175d778b7}" enabled="1" method="Privileged" siteId="{76a2ae5a-9f00-4f6b-95ed-5d33d77c4d6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Master Productivity</vt:lpstr>
      <vt:lpstr>Pivot Productivity</vt:lpstr>
      <vt:lpstr>Master Data Velocity</vt:lpstr>
      <vt:lpstr>Pivot Velocity</vt:lpstr>
      <vt:lpstr>Master Data Predictability</vt:lpstr>
      <vt:lpstr>Pivot Predictability</vt:lpstr>
      <vt:lpstr>Master PRD Defect Density %</vt:lpstr>
      <vt:lpstr>Pivot PRD Defect Density</vt:lpstr>
      <vt:lpstr>Master Defects</vt:lpstr>
      <vt:lpstr>Pivot Defects</vt:lpstr>
      <vt:lpstr>Review4</vt:lpstr>
      <vt:lpstr>Review5</vt:lpstr>
      <vt:lpstr>Productivity Insights</vt:lpstr>
      <vt:lpstr>Lead Observations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Kenkary, Siva Prasad</dc:creator>
  <cp:keywords/>
  <dc:description/>
  <cp:lastModifiedBy>Salian, Bharat</cp:lastModifiedBy>
  <cp:revision/>
  <dcterms:created xsi:type="dcterms:W3CDTF">2025-11-13T04:15:34Z</dcterms:created>
  <dcterms:modified xsi:type="dcterms:W3CDTF">2026-08-04T14:50:45Z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0x010100C96D1DE775907E49AD88F8ED8820A16B</vt:lpwstr>
  </property>
  <property fmtid="{D5CDD505-2E9C-101B-9397-08002B2CF9AE}" pid="3" name="MediaServiceImageTags">
    <vt:lpwstr/>
  </property>
</Properties>
</file>