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6.xml.rels" ContentType="application/vnd.openxmlformats-package.relationships+xml"/>
  <Override PartName="/xl/drawings/_rels/drawing11.xml.rels" ContentType="application/vnd.openxmlformats-package.relationships+xml"/>
  <Override PartName="/xl/drawings/_rels/drawing10.xml.rels" ContentType="application/vnd.openxmlformats-package.relationships+xml"/>
  <Override PartName="/xl/drawings/_rels/drawing2.xml.rels" ContentType="application/vnd.openxmlformats-package.relationships+xml"/>
  <Override PartName="/xl/drawings/_rels/drawing12.xml.rels" ContentType="application/vnd.openxmlformats-package.relationships+xml"/>
  <Override PartName="/xl/drawings/vmlDrawing2.vml" ContentType="application/vnd.openxmlformats-officedocument.vmlDrawing"/>
  <Override PartName="/xl/drawings/drawing3.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drawings/vmlDrawing3.vml" ContentType="application/vnd.openxmlformats-officedocument.vmlDrawing"/>
  <Override PartName="/xl/drawings/drawing1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8.xml" ContentType="application/vnd.openxmlformats-officedocument.drawing+xml"/>
  <Override PartName="/xl/comments1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 Report Guide" sheetId="1" state="visible" r:id="rId3"/>
    <sheet name="Data Quality Flags" sheetId="2" state="visible" r:id="rId4"/>
    <sheet name="Master Productivity" sheetId="3" state="visible" r:id="rId5"/>
    <sheet name="Pivot Productivity" sheetId="4" state="visible" r:id="rId6"/>
    <sheet name="Master Data Velocity" sheetId="5" state="visible" r:id="rId7"/>
    <sheet name="Pivot Velocity" sheetId="6" state="visible" r:id="rId8"/>
    <sheet name="Master Data Predictability" sheetId="7" state="visible" r:id="rId9"/>
    <sheet name="Pivot Predictability" sheetId="8" state="visible" r:id="rId10"/>
    <sheet name="Master PRD Defect Density %" sheetId="9" state="visible" r:id="rId11"/>
    <sheet name="Pivot PRD Defect Density" sheetId="10" state="visible" r:id="rId12"/>
    <sheet name="Master Defects" sheetId="11" state="visible" r:id="rId13"/>
    <sheet name="Pivot Defects" sheetId="12" state="visible" r:id="rId14"/>
    <sheet name="Review4" sheetId="13" state="visible" r:id="rId15"/>
    <sheet name="Review5" sheetId="14" state="visible" r:id="rId16"/>
    <sheet name="Productivity Insights" sheetId="15" state="visible" r:id="rId17"/>
    <sheet name="Lead Observations" sheetId="16" state="visible" r:id="rId18"/>
  </sheets>
  <definedNames>
    <definedName function="false" hidden="true" localSheetId="6" name="_xlnm._FilterDatabase" vbProcedure="false">'Master Data Predictability'!$A$1:$AT$26</definedName>
    <definedName function="false" hidden="true" localSheetId="4" name="_xlnm._FilterDatabase" vbProcedure="false">'Master Data Velocity'!$A$1:$BI$33</definedName>
    <definedName function="false" hidden="true" localSheetId="10" name="_xlnm._FilterDatabase" vbProcedure="false">'Master Defects'!$A$1:$S$32</definedName>
    <definedName function="false" hidden="true" localSheetId="8" name="_xlnm._FilterDatabase" vbProcedure="false">'Master PRD Defect Density %'!$A$1:$S$26</definedName>
    <definedName function="false" hidden="true" localSheetId="2" name="_xlnm._FilterDatabase" vbProcedure="false">'Master Productivity'!$A$1:$AT$29</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O23" authorId="0">
      <text>
        <r>
          <rPr>
            <sz val="10"/>
            <rFont val="Arial"/>
            <family val="2"/>
          </rPr>
          <t xml:space="preserve">Formula previously referenced an external workbook ('[1]Base data Velocity') that is not available in this file, so it could not be recalculated. Replaced with the last known value from the source file. Re-link to the source workbook if it becomes available.</t>
        </r>
      </text>
    </comment>
    <comment ref="O24" authorId="0">
      <text>
        <r>
          <rPr>
            <sz val="10"/>
            <rFont val="Arial"/>
            <family val="2"/>
          </rPr>
          <t xml:space="preserve">Formula previously referenced an external workbook ('[1]Base data Velocity') that is not available in this file, so it could not be recalculated. Replaced with the last known value from the source file. Re-link to the source workbook if it becomes available.</t>
        </r>
      </text>
    </comment>
    <comment ref="P23" authorId="0">
      <text>
        <r>
          <rPr>
            <sz val="10"/>
            <rFont val="Arial"/>
            <family val="2"/>
          </rPr>
          <t xml:space="preserve">Formula previously referenced an external workbook ('[1]Base data Velocity') that is not available in this file, so it could not be recalculated. Replaced with the last known value from the source file. Re-link to the source workbook if it becomes available.</t>
        </r>
      </text>
    </comment>
    <comment ref="P24" authorId="0">
      <text>
        <r>
          <rPr>
            <sz val="10"/>
            <rFont val="Arial"/>
            <family val="2"/>
          </rPr>
          <t xml:space="preserve">Formula previously referenced an external workbook ('[1]Base data Velocity') that is not available in this file, so it could not be recalculated. Replaced with the last known value from the source file. Re-link to the source workbook if it becomes available.</t>
        </r>
      </text>
    </comment>
    <comment ref="Q23" authorId="0">
      <text>
        <r>
          <rPr>
            <sz val="10"/>
            <rFont val="Arial"/>
            <family val="2"/>
          </rPr>
          <t xml:space="preserve">Formula previously referenced an external workbook ('[1]Base data Velocity') that is not available in this file, so it could not be recalculated. Replaced with the last known value from the source file. Re-link to the source workbook if it becomes available.</t>
        </r>
      </text>
    </comment>
    <comment ref="Q24" authorId="0">
      <text>
        <r>
          <rPr>
            <sz val="10"/>
            <rFont val="Arial"/>
            <family val="2"/>
          </rPr>
          <t xml:space="preserve">Formula previously referenced an external workbook ('[1]Base data Velocity') that is not available in this file, so it could not be recalculated. Replaced with the last known value from the source file. Re-link to the source workbook if it becomes available.</t>
        </r>
      </text>
    </comment>
    <comment ref="AH26" authorId="0">
      <text>
        <r>
          <rPr>
            <sz val="10"/>
            <rFont val="Arial"/>
            <family val="2"/>
          </rPr>
          <t xml:space="preserve">Salian, Bharat:
Earlier it was 100%</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DATA QUALITY FLAG: This column contains hardcoded values, not live formulas, and it does not match the formula-based 'Productivity' figure in column F for the same month (e.g. Oct'25: 7.22 here vs 6.67 in column F, an ~8% gap). Confirm which definition of Productivity is correct before this is used as the headline number. See Data Quality Flags tab.</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I9" authorId="0">
      <text>
        <r>
          <rPr>
            <sz val="10"/>
            <rFont val="Arial"/>
            <family val="2"/>
          </rPr>
          <t xml:space="preserve">Rebuilt as a legacy CSE array formula (TEXTJOIN+IF) in place of the original dynamic-array TEXTJOIN+FILTER, which this recalculation engine cannot evaluate (pre-existing #NAME? in the source file). Produces the same comma-separated application list.</t>
        </r>
      </text>
    </comment>
  </commentList>
</comments>
</file>

<file path=xl/sharedStrings.xml><?xml version="1.0" encoding="utf-8"?>
<sst xmlns="http://schemas.openxmlformats.org/spreadsheetml/2006/main" count="1237" uniqueCount="437">
  <si>
    <t xml:space="preserve">Sprint Delivery Report — Report Guide</t>
  </si>
  <si>
    <t xml:space="preserve">Read this before using the Master/Pivot tabs. Last reviewed: Aug 2026 (delivery-exec pass).</t>
  </si>
  <si>
    <t xml:space="preserve">1. What this workbook contains</t>
  </si>
  <si>
    <t xml:space="preserve">Master sheets</t>
  </si>
  <si>
    <t xml:space="preserve">One row per Application/Area. Sprint-level values for Productivity, Velocity, Predictability, Defect Density, and Defects. Same Domain/Workstream/App/Active-App columns are repeated across all five — keep them in sync manually (see Data Quality Flags tab for known drift).</t>
  </si>
  <si>
    <t xml:space="preserve">Pivot sheets</t>
  </si>
  <si>
    <t xml:space="preserve">Roll-ups by Workstream, one per metric. Converted to static values during this review (see note 5 below) — refresh manually against the Master sheets if source data changes.</t>
  </si>
  <si>
    <t xml:space="preserve">Review4 / Review5</t>
  </si>
  <si>
    <t xml:space="preserve">Portfolio-level monthly trend (Oct'25–Jun'26). Two different 'Productivity' figures exist for the same months — see Data Quality Flags tab, item DQ-06, before quoting these numbers.</t>
  </si>
  <si>
    <t xml:space="preserve">Productivity Insights / Lead Observations</t>
  </si>
  <si>
    <t xml:space="preserve">Narrative summary and per-application owner questions, built off the Pivot Productivity data.</t>
  </si>
  <si>
    <t xml:space="preserve">2. Key metric definitions</t>
  </si>
  <si>
    <t xml:space="preserve">Productivity</t>
  </si>
  <si>
    <t xml:space="preserve">Velocity ÷ number of contributing FTEs for the period ('SP per member').</t>
  </si>
  <si>
    <t xml:space="preserve">Velocity</t>
  </si>
  <si>
    <t xml:space="preserve">Total story points accepted in a sprint/period.</t>
  </si>
  <si>
    <t xml:space="preserve">Predictability</t>
  </si>
  <si>
    <t xml:space="preserve">SP accepted ÷ SP planned for a sprint. Should sit close to 1.0 (100%) if planning is reliable; values far above 1.5x or below 0.5x usually indicate the plan or accept number is being entered inconsistently rather than genuine over/under-delivery.</t>
  </si>
  <si>
    <t xml:space="preserve">PRD Defect Density %</t>
  </si>
  <si>
    <t xml:space="preserve">Post-production defects (within 23 days of release) ÷ story points delivered.</t>
  </si>
  <si>
    <t xml:space="preserve">Q3TD</t>
  </si>
  <si>
    <t xml:space="preserve">'Q3 to date' — a partial quarter (as few as 3 of ~7 sprints). Treat as directional only.</t>
  </si>
  <si>
    <t xml:space="preserve">3. Known limitations (read before presenting this externally)</t>
  </si>
  <si>
    <t xml:space="preserve">Partial periods look identical to complete ones</t>
  </si>
  <si>
    <t xml:space="preserve">Q3TD averages and Jun'26 in Review4/5 use the same formatting as fully-populated quarters/months. A 'Period Coverage' / 'Coverage Flag' column has been added to Master Productivity and Review4/Review5 in this revision to make this visible at a glance.</t>
  </si>
  <si>
    <t xml:space="preserve">Active App flag is not reliable</t>
  </si>
  <si>
    <t xml:space="preserve">Two apps are marked Active = No while still carrying live headcount and delivery data (Einstein 360, XM360 Recovery/Reliability). Flagged in yellow on Master Productivity and logged in Data Quality Flags.</t>
  </si>
  <si>
    <t xml:space="preserve">Untraceable rows</t>
  </si>
  <si>
    <t xml:space="preserve">Master Productivity rows without an SL No / App name but containing sprint values have been highlighted in red with a Data Quality Note. Do not include these in any total until attributed.</t>
  </si>
  <si>
    <t xml:space="preserve">Defect logging gaps</t>
  </si>
  <si>
    <t xml:space="preserve">The entire Payment &amp; Billing workstream shows 0.000000% defect density across 12 consecutive sprints — more likely an untracked/unlogged metric than a genuine zero-defect result.</t>
  </si>
  <si>
    <t xml:space="preserve">4. Recommended next steps for the report owner</t>
  </si>
  <si>
    <t xml:space="preserve">1.</t>
  </si>
  <si>
    <t xml:space="preserve">Decide, and document, one authoritative formula for portfolio 'Productivity' (Review4 column B vs column F disagree by ~8%).</t>
  </si>
  <si>
    <t xml:space="preserve">2.</t>
  </si>
  <si>
    <t xml:space="preserve">Standardize the Review4/Review5 divisor logic and document any exception with a stated reason.</t>
  </si>
  <si>
    <t xml:space="preserve">3.</t>
  </si>
  <si>
    <t xml:space="preserve">Attribute or delete the unattributed data rows in Master Productivity (highlighted red).</t>
  </si>
  <si>
    <t xml:space="preserve">4.</t>
  </si>
  <si>
    <t xml:space="preserve">Reconcile the Active App flag for Einstein 360 and XM360 Recovery/Reliability with actual staffing.</t>
  </si>
  <si>
    <t xml:space="preserve">5.</t>
  </si>
  <si>
    <t xml:space="preserve">Confirm whether defect logging is actually wired up for the Payment &amp; Billing workstream.</t>
  </si>
  <si>
    <t xml:space="preserve">6.</t>
  </si>
  <si>
    <t xml:space="preserve">Consolidate the five Master sheets onto shared App/Workstream reference data (e.g. via lookup formulas) instead of five independently-maintained copies, to stop the Active-App and naming drift seen above.</t>
  </si>
  <si>
    <t xml:space="preserve">5. What changed in this revision</t>
  </si>
  <si>
    <t xml:space="preserve">•</t>
  </si>
  <si>
    <t xml:space="preserve">Added this README and the 'Data Quality Flags' tab (consolidated issue log).</t>
  </si>
  <si>
    <t xml:space="preserve">Master Productivity: added 'Sprints Reported', 'Coverage Flag', and 'Data Quality Note' columns; highlighted 7 unattributed data rows (red) and 2 Active-App inconsistencies (yellow).</t>
  </si>
  <si>
    <t xml:space="preserve">Review4: labeled the previously-unnamed helper column F and flagged its mismatch with column B; added 'Period Coverage'.</t>
  </si>
  <si>
    <t xml:space="preserve">Review5: added 'Period Coverage', flagging Jun'26 (partial) and Dec'25 (non-standard divisor).</t>
  </si>
  <si>
    <t xml:space="preserve">Pivot tables were converted to static values by the recalculation engine used for this review — they no longer auto-refresh from a pivot cache. Rebuild them as live pivots in Excel if that functionality is still needed.</t>
  </si>
  <si>
    <t xml:space="preserve">Data Quality Flags — Consolidated Issue Log</t>
  </si>
  <si>
    <t xml:space="preserve">Every row is a specific, verifiable issue found while reviewing this workbook. Resolve or annotate before recirculating.</t>
  </si>
  <si>
    <t xml:space="preserve">ID</t>
  </si>
  <si>
    <t xml:space="preserve">Sheet(s)</t>
  </si>
  <si>
    <t xml:space="preserve">Location</t>
  </si>
  <si>
    <t xml:space="preserve">Severity</t>
  </si>
  <si>
    <t xml:space="preserve">Issue</t>
  </si>
  <si>
    <t xml:space="preserve">Evidence</t>
  </si>
  <si>
    <t xml:space="preserve">Recommended action</t>
  </si>
  <si>
    <t xml:space="preserve">DQ-01</t>
  </si>
  <si>
    <t xml:space="preserve">Master Productivity</t>
  </si>
  <si>
    <t xml:space="preserve">Rows 31-35, 37, 38 (cols L, V)</t>
  </si>
  <si>
    <t xml:space="preserve">High</t>
  </si>
  <si>
    <t xml:space="preserve">Untraceable sprint data</t>
  </si>
  <si>
    <t xml:space="preserve">7 rows contain live values (Sp17 and Sp1 productivity figures, e.g. 5, 10, 14, 9.07, 8, 6.4) with no SL No, Domain, Workstream, or Application/Area attached.</t>
  </si>
  <si>
    <t xml:space="preserve">Attribute to the correct application or delete before this report is recirculated. Do not include in any total until resolved.</t>
  </si>
  <si>
    <t xml:space="preserve">DQ-02</t>
  </si>
  <si>
    <t xml:space="preserve">Master Productivity / Master Data Velocity</t>
  </si>
  <si>
    <t xml:space="preserve">Row 10 (XM360 Recovery/Reliability), Row 22 (Einstein 360)</t>
  </si>
  <si>
    <t xml:space="preserve">Active App = 'No' but app is fully staffed and delivering</t>
  </si>
  <si>
    <t xml:space="preserve">XM360 Recovery/Reliability shows 6.5 Developer/QA in Q3/Q4 with ongoing sprint velocity; Einstein 360 shows 4.0 FTE with continuous Sp16-26 delivery data. Both flagged 'Active App: No'.</t>
  </si>
  <si>
    <t xml:space="preserve">Confirm with the app owners whether the Active flag or the delivery data is stale, and correct one of them.</t>
  </si>
  <si>
    <t xml:space="preserve">DQ-03</t>
  </si>
  <si>
    <t xml:space="preserve">Master Data Predictability</t>
  </si>
  <si>
    <t xml:space="preserve">Flow Engine (optimus) row; CPOS row</t>
  </si>
  <si>
    <t xml:space="preserve">Predictability ratio is not a believable signal</t>
  </si>
  <si>
    <t xml:space="preserve">Flow Engine (optimus), a 2-person team, shows sprint predictability of 12.0x, 5.67x (x3), 5.33x, 4.43x, 4.4x, 3.57x, 3.33x, 3.25x, 2.16x, 2.0x planned capacity. CPOS swings between 0.28x and 4.67x.</t>
  </si>
  <si>
    <t xml:space="preserve">Audit how 'SP planned' is captured for these two teams — a metric this volatile is more likely a data-entry issue than genuine delivery variance.</t>
  </si>
  <si>
    <t xml:space="preserve">DQ-04</t>
  </si>
  <si>
    <t xml:space="preserve">Master Defects</t>
  </si>
  <si>
    <t xml:space="preserve">XM360 CBM/Phoenix, Sp 6 column</t>
  </si>
  <si>
    <t xml:space="preserve">Medium</t>
  </si>
  <si>
    <t xml:space="preserve">Defect count outlier</t>
  </si>
  <si>
    <t xml:space="preserve">81 defects logged in Sp6 vs 5, 7, 9, 24, 28 in the surrounding sprints for the same app — roughly 3x the next-highest sprint for this app.</t>
  </si>
  <si>
    <t xml:space="preserve">Verify this is a real quality incident (and capture root cause) rather than a data entry error, since it did not move PRD Defect Density that sprint.</t>
  </si>
  <si>
    <t xml:space="preserve">DQ-05</t>
  </si>
  <si>
    <t xml:space="preserve">Pivot PRD Defect Density</t>
  </si>
  <si>
    <t xml:space="preserve">Payment &amp; Billing rows, Q1 and Q2 columns</t>
  </si>
  <si>
    <t xml:space="preserve">Suspiciously clean defect data</t>
  </si>
  <si>
    <t xml:space="preserve">All four Payment &amp; Billing scrums (XRM - VOIXM/Video/HSD, DevOps) report exactly 0.000000% defect density across 12 consecutive sprints.</t>
  </si>
  <si>
    <t xml:space="preserve">Confirm defects are actually being logged against this workstream's apps, rather than tracked in a separate system that doesn't feed this report.</t>
  </si>
  <si>
    <t xml:space="preserve">DQ-06</t>
  </si>
  <si>
    <t xml:space="preserve">Review4</t>
  </si>
  <si>
    <t xml:space="preserve">Column B vs Column F</t>
  </si>
  <si>
    <t xml:space="preserve">Two disagreeing 'Productivity' figures for the same months</t>
  </si>
  <si>
    <t xml:space="preserve">Column B is a hardcoded value (no formula). Column F (labeled here for the first time) is a live formula '=Velocity/FTE contributing/divisor'. For Oct'25 they read 7.22 vs 6.67 — an 8% gap — and every other month disagrees similarly.</t>
  </si>
  <si>
    <t xml:space="preserve">Pick one authoritative definition and make column B a live formula referencing it, so the two can never drift again.</t>
  </si>
  <si>
    <t xml:space="preserve">DQ-07</t>
  </si>
  <si>
    <t xml:space="preserve">Row 10 (Jun'26)</t>
  </si>
  <si>
    <t xml:space="preserve">Partial month presented like a complete one</t>
  </si>
  <si>
    <t xml:space="preserve">Jun'26 uses a productivity divisor of 1 vs 2 for every other month, because it is a half-reported period. Velocity (868) looks like a cliff next to May'26 (1,785) purely because of this.</t>
  </si>
  <si>
    <t xml:space="preserve">Label partial months explicitly wherever this trend is charted (now done via the new 'Period Coverage' column) so viewers don't read it as a real decline.</t>
  </si>
  <si>
    <t xml:space="preserve">DQ-08</t>
  </si>
  <si>
    <t xml:space="preserve">Review5</t>
  </si>
  <si>
    <t xml:space="preserve">Row 4 (Dec'25)</t>
  </si>
  <si>
    <t xml:space="preserve">Low</t>
  </si>
  <si>
    <t xml:space="preserve">Undocumented divisor exception</t>
  </si>
  <si>
    <t xml:space="preserve">Dec'25 uses a productivity divisor of 3, the only month that isn't 1 or 2, with no note explaining why.</t>
  </si>
  <si>
    <t xml:space="preserve">Add a one-line reason (e.g. extra pay period / 3-sprint month) so the exception doesn't look like an error.</t>
  </si>
  <si>
    <t xml:space="preserve">DQ-09</t>
  </si>
  <si>
    <t xml:space="preserve">App-level, e.g. CPOS</t>
  </si>
  <si>
    <t xml:space="preserve">Quarterly averages built from very sparse sprint data</t>
  </si>
  <si>
    <t xml:space="preserve">CPOS has real values in only 3 of 15 tracked sprints (Sp12-26), yet its quarterly averages are displayed with the same formatting/confidence as fully-populated apps.</t>
  </si>
  <si>
    <t xml:space="preserve">Use the new 'Sprints Reported' / 'Coverage Flag' columns added to this sheet to caveat any app below ~50% coverage in commentary.</t>
  </si>
  <si>
    <t xml:space="preserve">DQ-10</t>
  </si>
  <si>
    <t xml:space="preserve">All five Master sheets</t>
  </si>
  <si>
    <t xml:space="preserve">Domain/Workstream/App/Active-App columns</t>
  </si>
  <si>
    <t xml:space="preserve">Same reference data duplicated across 5 sheets</t>
  </si>
  <si>
    <t xml:space="preserve">Productivity, Velocity, Predictability, Defect Density, and Defects each maintain their own copy of Domain/Workstream/Application/Active-App. DQ-02 shows these have already drifted.</t>
  </si>
  <si>
    <t xml:space="preserve">Long-term: maintain one reference table (App × Domain × Workstream × Active flag) and have each Master sheet look it up, instead of five independently hand-maintained copies.</t>
  </si>
  <si>
    <t xml:space="preserve">SL No</t>
  </si>
  <si>
    <t xml:space="preserve">Domain</t>
  </si>
  <si>
    <t xml:space="preserve">Workstream</t>
  </si>
  <si>
    <t xml:space="preserve">QBR</t>
  </si>
  <si>
    <t xml:space="preserve">Application/Area</t>
  </si>
  <si>
    <t xml:space="preserve">Active App</t>
  </si>
  <si>
    <t xml:space="preserve">Sp 12 Scrum Productivity in SP (Velocity by member)</t>
  </si>
  <si>
    <t xml:space="preserve">Sp 13 Scrum Productivity in SP (Velocity by member)</t>
  </si>
  <si>
    <t xml:space="preserve">Sp 14 Scrum Productivity in SP (Velocity by member)</t>
  </si>
  <si>
    <t xml:space="preserve">Sp 15 Scrum Productivity in SP (Velocity by member)</t>
  </si>
  <si>
    <t xml:space="preserve">Sp 16 Scrum Productivity in SP (Velocity by member)</t>
  </si>
  <si>
    <t xml:space="preserve">Sp 17 Scrum Productivity in SP (Velocity by member)</t>
  </si>
  <si>
    <t xml:space="preserve">Sp 18 Scrum Productivity in SP (Velocity by member)</t>
  </si>
  <si>
    <t xml:space="preserve">Sp 19 Scrum Productivity in SP (Velocity by member)</t>
  </si>
  <si>
    <t xml:space="preserve">Sp 20 Scrum Productivity in SP (Velocity by member)</t>
  </si>
  <si>
    <t xml:space="preserve">Sp 21 Scrum Productivity in SP (Velocity by member)</t>
  </si>
  <si>
    <t xml:space="preserve">Sp 22 Scrum Productivity in SP (Velocity by member)</t>
  </si>
  <si>
    <t xml:space="preserve">Sp 23 Scrum Productivity in SP (Velocity by member)</t>
  </si>
  <si>
    <t xml:space="preserve">Sp 24 Scrum Productivity in SP (Velocity by member)</t>
  </si>
  <si>
    <t xml:space="preserve">Sp 25 Scrum Productivity in SP (Velocity by member)</t>
  </si>
  <si>
    <t xml:space="preserve">Sp 26 Scrum Productivity in SP (Velocity by member)</t>
  </si>
  <si>
    <t xml:space="preserve">Avg  of 15 SP (From 12 to 26)</t>
  </si>
  <si>
    <t xml:space="preserve">Avg Of Q3 Sprints(SP 14 to 19)</t>
  </si>
  <si>
    <t xml:space="preserve">Avg Of Q4 Sprints(SP 20 to 26)</t>
  </si>
  <si>
    <t xml:space="preserve">Sp 1 Scrum Productivity in SP (Velocity by member)</t>
  </si>
  <si>
    <t xml:space="preserve">Sp 2 Scrum Productivity in SP (Velocity by member)</t>
  </si>
  <si>
    <t xml:space="preserve">Sp 3 Scrum Productivity in SP (Velocity by member)</t>
  </si>
  <si>
    <t xml:space="preserve">Sp 4 Scrum Productivity in SP (Velocity by member)</t>
  </si>
  <si>
    <t xml:space="preserve">Sp 5 Scrum Productivity in SP (Velocity by member)</t>
  </si>
  <si>
    <t xml:space="preserve">Sp 6 Scrum Productivity in SP (Velocity by member)</t>
  </si>
  <si>
    <t xml:space="preserve">Avg Of Q1 Sprints(SP 1 to 6)</t>
  </si>
  <si>
    <t xml:space="preserve">Sp 7 Scrum Productivity in SP (Velocity by member)</t>
  </si>
  <si>
    <t xml:space="preserve">Sp 8 Scrum Productivity in SP (Velocity by member)</t>
  </si>
  <si>
    <t xml:space="preserve">Sp 9 Scrum Productivity in SP (Velocity by member)</t>
  </si>
  <si>
    <t xml:space="preserve">Sp 10 Scrum Productivity in SP (Velocity by member)</t>
  </si>
  <si>
    <t xml:space="preserve">Sp 11 Scrum Productivity in SP (Velocity by member)</t>
  </si>
  <si>
    <t xml:space="preserve">Avg Of Q2 Sprints(SP 7 to 12)</t>
  </si>
  <si>
    <t xml:space="preserve">Avg Of Q3 Sprints(SP 13 to 15)</t>
  </si>
  <si>
    <t xml:space="preserve">Sprints Reported (Sp12-26, of 15)</t>
  </si>
  <si>
    <t xml:space="preserve">Coverage Flag</t>
  </si>
  <si>
    <t xml:space="preserve">Data Quality Note</t>
  </si>
  <si>
    <t xml:space="preserve">IXT</t>
  </si>
  <si>
    <t xml:space="preserve">CEUI </t>
  </si>
  <si>
    <t xml:space="preserve">Assisted Tools</t>
  </si>
  <si>
    <t xml:space="preserve">CPOS</t>
  </si>
  <si>
    <t xml:space="preserve">Yes</t>
  </si>
  <si>
    <t xml:space="preserve">Xumo</t>
  </si>
  <si>
    <t xml:space="preserve">Platform</t>
  </si>
  <si>
    <t xml:space="preserve">Flow Engine (prometheus)</t>
  </si>
  <si>
    <t xml:space="preserve">Flow Engine (optimus)</t>
  </si>
  <si>
    <t xml:space="preserve">Celestial (Titan)</t>
  </si>
  <si>
    <t xml:space="preserve">Celestial (Universal)</t>
  </si>
  <si>
    <t xml:space="preserve">Right Answers</t>
  </si>
  <si>
    <t xml:space="preserve">XM360 CBM/Phoenix</t>
  </si>
  <si>
    <t xml:space="preserve">XM360 Recovery/Reliability</t>
  </si>
  <si>
    <t xml:space="preserve">No</t>
  </si>
  <si>
    <t xml:space="preserve">Active App = No, but this app carries live headcount and delivery data elsewhere in the workbook (see Data Quality Flags tab). Confirm whether the Active App flag or the delivery data is correct.</t>
  </si>
  <si>
    <t xml:space="preserve">XM360 Supersonix</t>
  </si>
  <si>
    <t xml:space="preserve">XM Velocity 1/Xceeders</t>
  </si>
  <si>
    <t xml:space="preserve">XM Velocity 2/Xplorers</t>
  </si>
  <si>
    <t xml:space="preserve">Field experience </t>
  </si>
  <si>
    <t xml:space="preserve">Field Experience</t>
  </si>
  <si>
    <t xml:space="preserve">NWT - UI</t>
  </si>
  <si>
    <t xml:space="preserve">NWT-FSM</t>
  </si>
  <si>
    <t xml:space="preserve">NWT - PSNB</t>
  </si>
  <si>
    <t xml:space="preserve">NWT - Core</t>
  </si>
  <si>
    <t xml:space="preserve">-</t>
  </si>
  <si>
    <t xml:space="preserve">Payment &amp; Billing  </t>
  </si>
  <si>
    <t xml:space="preserve">XRM</t>
  </si>
  <si>
    <t xml:space="preserve">XRM - VOIXM Scrum</t>
  </si>
  <si>
    <t xml:space="preserve">XRM - Video Scrum</t>
  </si>
  <si>
    <t xml:space="preserve">XRM - HSD Scrum</t>
  </si>
  <si>
    <t xml:space="preserve">BXT</t>
  </si>
  <si>
    <t xml:space="preserve">DevOps</t>
  </si>
  <si>
    <t xml:space="preserve">Einstein 360</t>
  </si>
  <si>
    <t xml:space="preserve">Account Services</t>
  </si>
  <si>
    <t xml:space="preserve">Account Services - BRE</t>
  </si>
  <si>
    <t xml:space="preserve">Account Services - XM PDF</t>
  </si>
  <si>
    <t xml:space="preserve">Account Services - NOW</t>
  </si>
  <si>
    <t xml:space="preserve">Agile Portfolio Mgmt</t>
  </si>
  <si>
    <t xml:space="preserve">Scrum Master</t>
  </si>
  <si>
    <t xml:space="preserve">DBA Scrum</t>
  </si>
  <si>
    <t xml:space="preserve">NWT-FSM 2 (NOVA)</t>
  </si>
  <si>
    <t xml:space="preserve">⚠ UNATTRIBUTED DATA — values exist in this row (see original Sp columns) with no SL No, Domain, Workstream, or Application name. Cannot be attributed to any app/owner. See Data Quality Flags tab.</t>
  </si>
  <si>
    <t xml:space="preserve">- all -</t>
  </si>
  <si>
    <t xml:space="preserve">26Q2 Vs 26Q1</t>
  </si>
  <si>
    <t xml:space="preserve">26Q2 Vs 25Q4</t>
  </si>
  <si>
    <t xml:space="preserve">Row Labels</t>
  </si>
  <si>
    <t xml:space="preserve">Q3 (SP 14 to 19)</t>
  </si>
  <si>
    <t xml:space="preserve">Q4 (SP 20 to 26)</t>
  </si>
  <si>
    <t xml:space="preserve">Q1 (SP 1 to 6)</t>
  </si>
  <si>
    <t xml:space="preserve">Q2 (SP 7 to 12)</t>
  </si>
  <si>
    <t xml:space="preserve">Q3 (SP 13 to 15)</t>
  </si>
  <si>
    <t xml:space="preserve">Total Result</t>
  </si>
  <si>
    <t xml:space="preserve">Story Points accepted in Sp 12</t>
  </si>
  <si>
    <t xml:space="preserve">Story Points accepted in Sp 13 to date</t>
  </si>
  <si>
    <t xml:space="preserve">Story Points accepted in Sp 14</t>
  </si>
  <si>
    <t xml:space="preserve">Story Points accepted in Sp 15 to date</t>
  </si>
  <si>
    <t xml:space="preserve">Developer/QA Count</t>
  </si>
  <si>
    <t xml:space="preserve">Story Points accepted in Sp 16</t>
  </si>
  <si>
    <t xml:space="preserve">Story Points accepted in Sp 17 to date</t>
  </si>
  <si>
    <t xml:space="preserve">Story Points accepted in Sp 18</t>
  </si>
  <si>
    <t xml:space="preserve">Story Points accepted in Sp 19 to date</t>
  </si>
  <si>
    <t xml:space="preserve">Developer/QA Count in Q3 (SP 14 to 19)</t>
  </si>
  <si>
    <t xml:space="preserve">Total Story points Delivered across sprints in Q3(SP 14 to 19)</t>
  </si>
  <si>
    <t xml:space="preserve"># of Sprints in Q3 (SP 14 to 19)</t>
  </si>
  <si>
    <t xml:space="preserve">Avg USP / SP in Q3 (SP 14 to 19)</t>
  </si>
  <si>
    <t xml:space="preserve">Avg USP / Month In Q3(SP 14 to 19)</t>
  </si>
  <si>
    <t xml:space="preserve">Story Points accepted in Sp 20</t>
  </si>
  <si>
    <t xml:space="preserve">Story Points accepted in Sp 21 </t>
  </si>
  <si>
    <t xml:space="preserve">Story Points accepted in Sp 22</t>
  </si>
  <si>
    <t xml:space="preserve">Story Points accepted in Sp 23</t>
  </si>
  <si>
    <t xml:space="preserve">Story Points accepted in Sp 24</t>
  </si>
  <si>
    <t xml:space="preserve">Story Points accepted in Sp 25</t>
  </si>
  <si>
    <t xml:space="preserve">Story Points accepted in Sp 26</t>
  </si>
  <si>
    <t xml:space="preserve">Developer/QA Count in Q4 (SP 20 to 26)</t>
  </si>
  <si>
    <t xml:space="preserve">Total Story points Delivered across sprints in Q4(SP 20 to 26)</t>
  </si>
  <si>
    <t xml:space="preserve"># of Sprints in Q4 (SP 20 to 26)</t>
  </si>
  <si>
    <t xml:space="preserve">Avg USP / SP in Q4 (SP 20 to 26)</t>
  </si>
  <si>
    <t xml:space="preserve">Avg USP / Month In Q4(SP 20 to 26)</t>
  </si>
  <si>
    <t xml:space="preserve">Total Story points Delivered across sprints</t>
  </si>
  <si>
    <t xml:space="preserve"># of Sprints</t>
  </si>
  <si>
    <t xml:space="preserve">Avg USP / SP</t>
  </si>
  <si>
    <t xml:space="preserve">Avg USP / Month</t>
  </si>
  <si>
    <t xml:space="preserve">Story Points accepted in Sp 1</t>
  </si>
  <si>
    <t xml:space="preserve">Story Points accepted in Sp 2 to date</t>
  </si>
  <si>
    <t xml:space="preserve">Story Points accepted in Sp 3</t>
  </si>
  <si>
    <t xml:space="preserve">Story Points accepted in Sp 4 to date</t>
  </si>
  <si>
    <t xml:space="preserve">Story Points accepted in Sp 5</t>
  </si>
  <si>
    <t xml:space="preserve">Story Points accepted in Sp 6</t>
  </si>
  <si>
    <t xml:space="preserve">Developer/QA Count in Q1</t>
  </si>
  <si>
    <t xml:space="preserve">Total Story points Delivered across sprints in Q1</t>
  </si>
  <si>
    <t xml:space="preserve"># of Sprints in Q1</t>
  </si>
  <si>
    <t xml:space="preserve">Avg USP / SP in Q1  (SP 1 to 6)</t>
  </si>
  <si>
    <t xml:space="preserve">Avg USP / Month In Q1 (SP 1 to 6)</t>
  </si>
  <si>
    <t xml:space="preserve">Story Points accepted in 7 to date</t>
  </si>
  <si>
    <t xml:space="preserve">Story Points accepted in 8 to date</t>
  </si>
  <si>
    <t xml:space="preserve">Story Points accepted in 9 to date</t>
  </si>
  <si>
    <t xml:space="preserve">Story Points accepted in 10 to date</t>
  </si>
  <si>
    <t xml:space="preserve">Story Points accepted in 11 to date</t>
  </si>
  <si>
    <t xml:space="preserve">Story Points accepted in 12 to date</t>
  </si>
  <si>
    <t xml:space="preserve">Developer/QA Count in Q2</t>
  </si>
  <si>
    <t xml:space="preserve">Total Story points Delivered across sprints in Q2</t>
  </si>
  <si>
    <t xml:space="preserve"># of Sprints in Q2</t>
  </si>
  <si>
    <t xml:space="preserve">Avg USP / SP in Q2 (SP 7 to 12)</t>
  </si>
  <si>
    <t xml:space="preserve">Avg USP / Month In Q2(SP 7 to 12)</t>
  </si>
  <si>
    <t xml:space="preserve">RAG (Q1 vs Q2 Δ)</t>
  </si>
  <si>
    <t xml:space="preserve">AVG SP in Q1 with 4 SP</t>
  </si>
  <si>
    <t xml:space="preserve">RAG Q1(4SP) vs Q2 Δ</t>
  </si>
  <si>
    <t xml:space="preserve">Story Points accepted in 13 to date</t>
  </si>
  <si>
    <t xml:space="preserve">Story Points accepted in 14 to date</t>
  </si>
  <si>
    <t xml:space="preserve">Story Points accepted in 15 to date</t>
  </si>
  <si>
    <t xml:space="preserve">Story Points accepted in 16 to date</t>
  </si>
  <si>
    <t xml:space="preserve">Story Points accepted in 17 to date</t>
  </si>
  <si>
    <t xml:space="preserve">Story Points accepted in 18 to date</t>
  </si>
  <si>
    <t xml:space="preserve">Avg USP / SP in Q3 (SP 13 to 15)</t>
  </si>
  <si>
    <t xml:space="preserve">Avg USP / Month In Q3(SP 13 to 15)</t>
  </si>
  <si>
    <t xml:space="preserve">CEUI</t>
  </si>
  <si>
    <t xml:space="preserve">NA</t>
  </si>
  <si>
    <t xml:space="preserve">USP / SP in Q4 (SP 20 to 26)</t>
  </si>
  <si>
    <t xml:space="preserve">USP / SP in Q1  (SP 1 to 6)</t>
  </si>
  <si>
    <t xml:space="preserve">USP / SP in Q2 (SP 7 to 12)</t>
  </si>
  <si>
    <t xml:space="preserve">USP / SP in Q3 (SP 13 to 15)</t>
  </si>
  <si>
    <t xml:space="preserve">Sprint 12 Predictability
 (# SP accepted in sp 12 / # SP planned into sprint 12)</t>
  </si>
  <si>
    <t xml:space="preserve">Sprint 13 Predictability
 (# SP accepted in sp 13 at end of each sprint / # SP planned into sprint 13)</t>
  </si>
  <si>
    <t xml:space="preserve">Sprint 14 Predictability
 (# SP accepted in sp 14 / # SP planned into sprint 14)</t>
  </si>
  <si>
    <t xml:space="preserve">Sprint 15 Predictability
 (# SP accepted in sp 15 at end of each sprint / # SP planned into sprint 15)</t>
  </si>
  <si>
    <t xml:space="preserve">Sprint 16 Predictability
 (# SP accepted in sp 16 / # SP planned into sprint 16)</t>
  </si>
  <si>
    <t xml:space="preserve">Sprint 17 Predictability
 (# SP accepted in sp 17 at end of each sprint / # SP planned into sprint 17)</t>
  </si>
  <si>
    <t xml:space="preserve">Sprint 18 Predictability
 (# SP accepted in sp 18 / # SP planned into sprint 18)</t>
  </si>
  <si>
    <t xml:space="preserve">Sprint 19 Predictability
 (# SP accepted in sp 19 at end of each sprint / # SP planned into sprint 19)</t>
  </si>
  <si>
    <t xml:space="preserve">Sprint 20 Predictability
 (# SP accepted in sp 20 / # SP planned into sprint 20)</t>
  </si>
  <si>
    <t xml:space="preserve">Sprint 21 Predictability
 (# SP accepted in sp 21 at end of each sprint / # SP planned into sprint 21)</t>
  </si>
  <si>
    <t xml:space="preserve">Sprint 22 Predictability
 (# SP accepted in sp 22 / # SP planned into sprint 22)</t>
  </si>
  <si>
    <t xml:space="preserve">Sprint 23 Predictability
 (# SP accepted in sp 23 at end of each sprint / # SP planned into sprint 23)</t>
  </si>
  <si>
    <t xml:space="preserve">Sprint 24 Predictability
 (# SP accepted in sp 24 at end of each sprint / # SP planned into sprint 24)</t>
  </si>
  <si>
    <t xml:space="preserve">Sprint 25 Predictability
 (# SP accepted in sp 25 at end of each sprint / # SP planned into sprint 25)</t>
  </si>
  <si>
    <t xml:space="preserve">Sprint 26 Predictability
 (# SP accepted in sp 26 at end of each sprint / # SP planned into sprint 26)</t>
  </si>
  <si>
    <t xml:space="preserve">Avg Predictablity In 2025(SP 12 to 26)</t>
  </si>
  <si>
    <t xml:space="preserve">Avg Predictablity In Q3(SP 14 to 19)</t>
  </si>
  <si>
    <t xml:space="preserve">Avg Predictablity In Q4(SP 20 to 26)</t>
  </si>
  <si>
    <t xml:space="preserve">Sprint 1 Predictability
 (# SP accepted in sp 1 / # SP planned into sprint 1)</t>
  </si>
  <si>
    <t xml:space="preserve">Sprint 2 Predictability
 (# SP accepted in sp 2 / # SP planned into sprint 2)</t>
  </si>
  <si>
    <t xml:space="preserve">Sprint 3 Predictability
 (# SP accepted in sp 3 / # SP planned into sprint 3)</t>
  </si>
  <si>
    <t xml:space="preserve">Sprint 4 Predictability
 (# SP accepted in sp 4 / # SP planned into sprint 4)</t>
  </si>
  <si>
    <t xml:space="preserve">Sprint 5 Predictability
 (# SP accepted in sp 5/ # SP planned into sprint 5)</t>
  </si>
  <si>
    <t xml:space="preserve">Sprint 6 Predictability
 (# SP accepted in sp 6/ # SP planned into sprint 5)</t>
  </si>
  <si>
    <t xml:space="preserve">Avg Predictablity In Q1(SP 1 to 6)</t>
  </si>
  <si>
    <t xml:space="preserve">Sprint 7 Predictability
 (# SP accepted in sp 7 / # SP planned into sprint 7)</t>
  </si>
  <si>
    <t xml:space="preserve">Sprint 8 Predictability
 (# SP accepted in sp 8 / # SP planned into sprint 8)</t>
  </si>
  <si>
    <t xml:space="preserve">Sprint 9 Predictability
 (# SP accepted in sp 9 / # SP planned into sprint 9)</t>
  </si>
  <si>
    <t xml:space="preserve">Sprint 10 Predictability
 (# SP accepted in sp 10 / # SP planned into sprint 10)</t>
  </si>
  <si>
    <t xml:space="preserve">Sprint 11 Predictability
 (# SP accepted in sp 11 / # SP planned into sprint 11)</t>
  </si>
  <si>
    <t xml:space="preserve">Sprint 12 Predictability
 (# SP accepted in sp 12 at end of each sprint / # SP planned into sprint 12 )</t>
  </si>
  <si>
    <t xml:space="preserve">Avg Predictablity In Q2(SP 7 to 12)</t>
  </si>
  <si>
    <t xml:space="preserve">Sprint 13 Predictability
 (# SP accepted in sp 13 / # SP planned into sprint 13)</t>
  </si>
  <si>
    <t xml:space="preserve">Sprint 15 Predictability
 (# SP accepted in sp 15 / # SP planned into sprint 15)</t>
  </si>
  <si>
    <t xml:space="preserve">Sprint 17 Predictability
 (# SP accepted in sp 17 / # SP planned into sprint 17)</t>
  </si>
  <si>
    <t xml:space="preserve">Sprint 18 Predictability
 (# SP accepted in sp 18 at end of each sprint / # SP planned into sprint 18 )</t>
  </si>
  <si>
    <t xml:space="preserve">Sprint 19 Predictability
 (# SP accepted in sp 19 at end of each sprint / # SP planned into sprint 19 )</t>
  </si>
  <si>
    <t xml:space="preserve">Avg Predictablity In Q3(SP 13 to 15)</t>
  </si>
  <si>
    <t xml:space="preserve">Q2(SP 7 to 12)</t>
  </si>
  <si>
    <t xml:space="preserve">Q3(SP 13 to 15)</t>
  </si>
  <si>
    <t xml:space="preserve">Sp 1 PRD Defect Density % (# defect identified post- production within 23 days of release in H1 Jan / total story points delivered or accepted in sp 1)</t>
  </si>
  <si>
    <t xml:space="preserve">Sp 2 PRD Defect Density % (# defect identified post- production of release  within 23 days of release in H2 Jan / total story points delivered or accepted in sp 2)</t>
  </si>
  <si>
    <t xml:space="preserve">Sp 3 PRD Defect Density % (# defect identified post- production within 23 days of release in H1 Feb / total story points delivered or accepted in sp 3)</t>
  </si>
  <si>
    <t xml:space="preserve">Sp 4 PRD Defect Density % (# defect identified post- production of release  within 23 days of release in H2 FEb / total story points delivered or accepted in sp 4)</t>
  </si>
  <si>
    <t xml:space="preserve">Sp 5 PRD Defect Density % (# defect identified post- production within 23 days of release in H1 Mar / total story points delivered or accepted in sp 5)</t>
  </si>
  <si>
    <t xml:space="preserve">Sp 6 PRD Defect Density % (# defect identified post- production of release  within 23 days of release in H2 Mar / total story points delivered or accepted in sp 6)</t>
  </si>
  <si>
    <t xml:space="preserve">Avg PRD Defect Density %  Q1 (SP 1 to 6)</t>
  </si>
  <si>
    <t xml:space="preserve">Sp 7 PRD Defect Density % (# defect identified post- production within 23 days of release in H1 Apr / total story points delivered or accepted in sp 7)</t>
  </si>
  <si>
    <t xml:space="preserve">Sp 8 PRD Defect Density % (# defect identified post- production of release  within 23 days of release in H2 Apr / total story points delivered or accepted in sp 8)</t>
  </si>
  <si>
    <t xml:space="preserve">Sp 9 PRD Defect Density % (# defect identified post- production within 23 days of release in H1 May / total story points delivered or accepted in sp 9)</t>
  </si>
  <si>
    <t xml:space="preserve">Sp 10 PRD Defect Density % (# defect identified post- production of release  within 23 days of release in H2 May / total story points delivered or accepted in sp 10)</t>
  </si>
  <si>
    <t xml:space="preserve">Sp 11 PRD Defect Density % (# defect identified post- production within 23 days of release in H1 May / total story points delivered or accepted in sp 11)</t>
  </si>
  <si>
    <t xml:space="preserve">Sp 12 PRD Defect Density % (# defect identified post- production of release  within 23 days of release in H2 May / total story points delivered or accepted in sp 12)</t>
  </si>
  <si>
    <t xml:space="preserve">Avg PRD Defect Density %  Q2 (SP 7 to 12)</t>
  </si>
  <si>
    <t xml:space="preserve">Average of Avg PRD Defect Density %  Q1 (SP 1 to 6)</t>
  </si>
  <si>
    <t xml:space="preserve">Average of Avg PRD Defect Density %  Q2 (SP 7 to 12)</t>
  </si>
  <si>
    <t xml:space="preserve">Count of all Defects for Sp 1</t>
  </si>
  <si>
    <t xml:space="preserve">Count of all Defects for Sp 2</t>
  </si>
  <si>
    <t xml:space="preserve">Count of all Defects for Sp 3</t>
  </si>
  <si>
    <t xml:space="preserve">Count of all Defects for Sp 4</t>
  </si>
  <si>
    <t xml:space="preserve">Count of all Defects for Sp 5</t>
  </si>
  <si>
    <t xml:space="preserve">Count of all Defects for Sp 6</t>
  </si>
  <si>
    <t xml:space="preserve">Avg Count of all Defects for Q1 (SP 1 to 6)</t>
  </si>
  <si>
    <t xml:space="preserve">Count of all Defects for Sp 7</t>
  </si>
  <si>
    <t xml:space="preserve">Count of all Defects for Sp 8</t>
  </si>
  <si>
    <t xml:space="preserve">Count of all Defects for Sp 9</t>
  </si>
  <si>
    <t xml:space="preserve">Count of all Defects for Sp 10</t>
  </si>
  <si>
    <t xml:space="preserve">Count of all Defects for Sp 11</t>
  </si>
  <si>
    <t xml:space="preserve">Count of all Defects for Sp 12</t>
  </si>
  <si>
    <t xml:space="preserve">Avg Count of all Defects for Q2 (SP 7 to 12)</t>
  </si>
  <si>
    <t xml:space="preserve">Month</t>
  </si>
  <si>
    <t xml:space="preserve">Billable FTE</t>
  </si>
  <si>
    <t xml:space="preserve">FTE contributing to SP</t>
  </si>
  <si>
    <t xml:space="preserve">Productivity (audit calc: Velocity/FTE contributing/divisor)</t>
  </si>
  <si>
    <t xml:space="preserve">Period Coverage</t>
  </si>
  <si>
    <t xml:space="preserve">Oct’25</t>
  </si>
  <si>
    <t xml:space="preserve">Full month</t>
  </si>
  <si>
    <t xml:space="preserve">Nov’25</t>
  </si>
  <si>
    <t xml:space="preserve">Dec’25</t>
  </si>
  <si>
    <t xml:space="preserve">Jan’26</t>
  </si>
  <si>
    <t xml:space="preserve">Feb’26</t>
  </si>
  <si>
    <t xml:space="preserve">Mar’26</t>
  </si>
  <si>
    <t xml:space="preserve">Apr’26</t>
  </si>
  <si>
    <t xml:space="preserve">May’26</t>
  </si>
  <si>
    <t xml:space="preserve">Jun’26</t>
  </si>
  <si>
    <t xml:space="preserve">Partial month (reduced divisor)</t>
  </si>
  <si>
    <t xml:space="preserve">Productivity divisor</t>
  </si>
  <si>
    <t xml:space="preserve">Non-standard divisor (3) — reason undocumented</t>
  </si>
  <si>
    <t xml:space="preserve">Partial month (divisor=1)</t>
  </si>
  <si>
    <t xml:space="preserve">Productivity Analysis — Q1, Q2 &amp; Q3-to-Date</t>
  </si>
  <si>
    <t xml:space="preserve">Q1 and Q2 are complete (six sprints each). Q3TD covers SP13–15 and 26 of 29 applications; only Q1→Q2 is a completed-quarter comparison.</t>
  </si>
  <si>
    <t xml:space="preserve">Q1 portfolio</t>
  </si>
  <si>
    <t xml:space="preserve">Q2 portfolio</t>
  </si>
  <si>
    <t xml:space="preserve">Q1→Q2</t>
  </si>
  <si>
    <t xml:space="preserve">Q3TD portfolio</t>
  </si>
  <si>
    <t xml:space="preserve">Q2→Q3TD*</t>
  </si>
  <si>
    <t xml:space="preserve">Q3TD coverage</t>
  </si>
  <si>
    <t xml:space="preserve">Complete histories</t>
  </si>
  <si>
    <t xml:space="preserve">Story in brief</t>
  </si>
  <si>
    <t xml:space="preserve">Portfolio productivity rose from 7.2 in Q1 to 7.7 in Q2, a confirmed 6.1% increase. Q3TD is 7.8, only 1.6% above Q2 and based on three sprints, so it indicates stability with slight upside rather than a completed-quarter improvement. Among 25 applications with complete history, nine show sustained increases, while five show sustained declines. Seven improved in Q2 but have reversed direction in Q3TD, making them the main monitoring group.</t>
  </si>
  <si>
    <t xml:space="preserve">Portfolio three-period trend</t>
  </si>
  <si>
    <t xml:space="preserve">Application trend patterns</t>
  </si>
  <si>
    <t xml:space="preserve">Period</t>
  </si>
  <si>
    <t xml:space="preserve">Coverage</t>
  </si>
  <si>
    <t xml:space="preserve">Portfolio productivity</t>
  </si>
  <si>
    <t xml:space="preserve">Change vs prior</t>
  </si>
  <si>
    <t xml:space="preserve">Interpretation</t>
  </si>
  <si>
    <t xml:space="preserve">Pattern</t>
  </si>
  <si>
    <t xml:space="preserve">Count</t>
  </si>
  <si>
    <t xml:space="preserve">Applications</t>
  </si>
  <si>
    <t xml:space="preserve">Q1</t>
  </si>
  <si>
    <t xml:space="preserve">SP1–6 (complete)</t>
  </si>
  <si>
    <t xml:space="preserve">Baseline complete quarter</t>
  </si>
  <si>
    <t xml:space="preserve">Sustained increase</t>
  </si>
  <si>
    <t xml:space="preserve">Q2</t>
  </si>
  <si>
    <t xml:space="preserve">SP7–12 (complete)</t>
  </si>
  <si>
    <t xml:space="preserve">Confirmed quarter-over-quarter change</t>
  </si>
  <si>
    <t xml:space="preserve">Sustained decline</t>
  </si>
  <si>
    <t xml:space="preserve">Q3TD*</t>
  </si>
  <si>
    <t xml:space="preserve">SP13–15 (partial)</t>
  </si>
  <si>
    <t xml:space="preserve">Preliminary direction only</t>
  </si>
  <si>
    <t xml:space="preserve">Q3TD recovery</t>
  </si>
  <si>
    <t xml:space="preserve">Q3TD reversal</t>
  </si>
  <si>
    <t xml:space="preserve">Stable / mixed</t>
  </si>
  <si>
    <t xml:space="preserve">Confirmed Q1 → Q2 movers</t>
  </si>
  <si>
    <t xml:space="preserve">Provisional Q2 → Q3TD signals</t>
  </si>
  <si>
    <t xml:space="preserve">Application</t>
  </si>
  <si>
    <t xml:space="preserve">Δ</t>
  </si>
  <si>
    <t xml:space="preserve">Assessment</t>
  </si>
  <si>
    <t xml:space="preserve">Δ*</t>
  </si>
  <si>
    <t xml:space="preserve">Largest increase</t>
  </si>
  <si>
    <t xml:space="preserve">Largest positive signal</t>
  </si>
  <si>
    <t xml:space="preserve">Second-largest increase</t>
  </si>
  <si>
    <t xml:space="preserve">Third-largest increase</t>
  </si>
  <si>
    <t xml:space="preserve">Third positive signal</t>
  </si>
  <si>
    <t xml:space="preserve">Largest decline</t>
  </si>
  <si>
    <t xml:space="preserve">Largest negative signal</t>
  </si>
  <si>
    <t xml:space="preserve">Second-largest decline</t>
  </si>
  <si>
    <t xml:space="preserve">Second negative signal</t>
  </si>
  <si>
    <t xml:space="preserve">Third-largest decline</t>
  </si>
  <si>
    <t xml:space="preserve">Third negative signal</t>
  </si>
  <si>
    <t xml:space="preserve">Analyst conclusion</t>
  </si>
  <si>
    <t xml:space="preserve">The reliable conclusion is that productivity improved in Q2 versus Q1. Q3TD currently holds that gain at portfolio level, but the application mix is uneven: sustained gains coexist with seven early reversals and five sustained declines. Prioritize the sustained-decline and Q3TD-reversal groups, while validating whether BXT, DevOps, and other positive Q3TD signals persist as more sprints are completed.</t>
  </si>
  <si>
    <t xml:space="preserve">Application Productivity — Q1, Q2 &amp; Q3-to-Date</t>
  </si>
  <si>
    <t xml:space="preserve">Q1 and Q2 are complete six-sprint periods. Q3TD contains SP13–15 only; Q3TD patterns are preliminary and must be revisited as further sprints are added.</t>
  </si>
  <si>
    <t xml:space="preserve">Complete 3-period history</t>
  </si>
  <si>
    <t xml:space="preserve">Application / Workstream</t>
  </si>
  <si>
    <t xml:space="preserve">Three-period pattern</t>
  </si>
  <si>
    <t xml:space="preserve">Q1→Q2 Δ</t>
  </si>
  <si>
    <t xml:space="preserve">Q2→Q3TD Δ*</t>
  </si>
  <si>
    <t xml:space="preserve">Three-period observation</t>
  </si>
  <si>
    <t xml:space="preserve">Question for application lead</t>
  </si>
  <si>
    <t xml:space="preserve">Notes from lead</t>
  </si>
</sst>
</file>

<file path=xl/styles.xml><?xml version="1.0" encoding="utf-8"?>
<styleSheet xmlns="http://schemas.openxmlformats.org/spreadsheetml/2006/main">
  <numFmts count="11">
    <numFmt numFmtId="164" formatCode="General"/>
    <numFmt numFmtId="165" formatCode="0.0"/>
    <numFmt numFmtId="166" formatCode="_(* #,##0.0_);_(* \(#,##0.0\);_(* \-??_);_(@_)"/>
    <numFmt numFmtId="167" formatCode="General"/>
    <numFmt numFmtId="168" formatCode="0%"/>
    <numFmt numFmtId="169" formatCode="0"/>
    <numFmt numFmtId="170" formatCode="_(* #,##0_);_(* \(#,##0\);_(* \-??_);_(@_)"/>
    <numFmt numFmtId="171" formatCode="_(* #,##0.00_);_(* \(#,##0.00\);_(* \-??_);_(@_)"/>
    <numFmt numFmtId="172" formatCode="0.00%"/>
    <numFmt numFmtId="173" formatCode="#,##0"/>
    <numFmt numFmtId="174" formatCode="0.0%"/>
  </numFmts>
  <fonts count="39">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b val="true"/>
      <sz val="16"/>
      <color rgb="FF305496"/>
      <name val="Cambria"/>
      <family val="0"/>
      <charset val="1"/>
    </font>
    <font>
      <i val="true"/>
      <sz val="10"/>
      <color rgb="FF595959"/>
      <name val="Cambria"/>
      <family val="0"/>
      <charset val="1"/>
    </font>
    <font>
      <b val="true"/>
      <sz val="12"/>
      <color rgb="FF305496"/>
      <name val="Cambria"/>
      <family val="0"/>
      <charset val="1"/>
    </font>
    <font>
      <b val="true"/>
      <sz val="11"/>
      <name val="Cambria"/>
      <family val="0"/>
      <charset val="1"/>
    </font>
    <font>
      <b val="true"/>
      <sz val="11"/>
      <color rgb="FFFFFFFF"/>
      <name val="Cambria"/>
      <family val="0"/>
      <charset val="1"/>
    </font>
    <font>
      <b val="true"/>
      <sz val="9"/>
      <color rgb="FFFFFFFF"/>
      <name val="Aptos Narrow"/>
      <family val="2"/>
      <charset val="1"/>
    </font>
    <font>
      <b val="true"/>
      <sz val="9"/>
      <color theme="0"/>
      <name val="Aptos Narrow"/>
      <family val="2"/>
      <charset val="1"/>
    </font>
    <font>
      <b val="true"/>
      <sz val="9"/>
      <name val="Aptos Narrow"/>
      <family val="2"/>
      <charset val="1"/>
    </font>
    <font>
      <b val="true"/>
      <sz val="9"/>
      <color theme="0"/>
      <name val="Calibri"/>
      <family val="2"/>
      <charset val="1"/>
    </font>
    <font>
      <sz val="9"/>
      <color rgb="FF000000"/>
      <name val="Aptos Narrow"/>
      <family val="2"/>
      <charset val="1"/>
    </font>
    <font>
      <sz val="11"/>
      <color rgb="FFFF0000"/>
      <name val="Aptos Narrow"/>
      <family val="2"/>
      <charset val="1"/>
    </font>
    <font>
      <sz val="9"/>
      <color theme="1"/>
      <name val="Aptos Narrow"/>
      <family val="2"/>
      <charset val="1"/>
    </font>
    <font>
      <b val="true"/>
      <sz val="11"/>
      <color rgb="FF9C0006"/>
      <name val="Cambria"/>
      <family val="0"/>
      <charset val="1"/>
    </font>
    <font>
      <b val="true"/>
      <sz val="9"/>
      <color rgb="FF404040"/>
      <name val="Aptos Narrow"/>
      <family val="2"/>
    </font>
    <font>
      <b val="true"/>
      <sz val="9"/>
      <color rgb="FF595959"/>
      <name val="Aptos Narrow"/>
      <family val="2"/>
    </font>
    <font>
      <sz val="11"/>
      <color rgb="FF404040"/>
      <name val="Aptos Narrow"/>
      <family val="2"/>
      <charset val="1"/>
    </font>
    <font>
      <sz val="10"/>
      <color rgb="FF000000"/>
      <name val="Aptos Narrow"/>
      <family val="2"/>
      <charset val="1"/>
    </font>
    <font>
      <sz val="10"/>
      <color theme="1"/>
      <name val="Aptos Narrow"/>
      <family val="2"/>
      <charset val="1"/>
    </font>
    <font>
      <sz val="9"/>
      <name val="Aptos Narrow"/>
      <family val="2"/>
      <charset val="1"/>
    </font>
    <font>
      <sz val="11"/>
      <color rgb="FF0000FF"/>
      <name val="Cambria"/>
      <family val="0"/>
      <charset val="1"/>
    </font>
    <font>
      <sz val="10"/>
      <name val="Arial"/>
      <family val="2"/>
    </font>
    <font>
      <b val="true"/>
      <sz val="11"/>
      <color rgb="FFFFFFFF"/>
      <name val="Aptos Narrow"/>
      <family val="2"/>
      <charset val="1"/>
    </font>
    <font>
      <sz val="14"/>
      <color rgb="FF595959"/>
      <name val="Aptos Narrow"/>
      <family val="2"/>
    </font>
    <font>
      <sz val="9"/>
      <color rgb="FF404040"/>
      <name val="Aptos Narrow"/>
      <family val="2"/>
    </font>
    <font>
      <sz val="9"/>
      <color rgb="FF595959"/>
      <name val="Aptos Narrow"/>
      <family val="2"/>
    </font>
    <font>
      <sz val="10"/>
      <color rgb="FF595959"/>
      <name val="Aptos Narrow"/>
      <family val="2"/>
    </font>
    <font>
      <sz val="10"/>
      <color rgb="FF000000"/>
      <name val="Aptos Narrow"/>
      <family val="2"/>
    </font>
    <font>
      <b val="true"/>
      <sz val="18"/>
      <color rgb="FFFFFFFF"/>
      <name val="Aptos"/>
      <family val="0"/>
      <charset val="1"/>
    </font>
    <font>
      <i val="true"/>
      <sz val="11"/>
      <color rgb="FF666666"/>
      <name val="Aptos"/>
      <family val="0"/>
      <charset val="1"/>
    </font>
    <font>
      <sz val="11"/>
      <color theme="1"/>
      <name val="Aptos"/>
      <family val="0"/>
      <charset val="1"/>
    </font>
    <font>
      <b val="true"/>
      <sz val="11"/>
      <color rgb="FFFFFFFF"/>
      <name val="Aptos"/>
      <family val="0"/>
      <charset val="1"/>
    </font>
    <font>
      <b val="true"/>
      <sz val="14"/>
      <color theme="1"/>
      <name val="Aptos"/>
      <family val="0"/>
      <charset val="1"/>
    </font>
    <font>
      <b val="true"/>
      <sz val="11"/>
      <color theme="1"/>
      <name val="Aptos"/>
      <family val="0"/>
      <charset val="1"/>
    </font>
    <font>
      <sz val="11"/>
      <color theme="1"/>
      <name val="Aptos"/>
      <family val="2"/>
      <charset val="1"/>
    </font>
  </fonts>
  <fills count="29">
    <fill>
      <patternFill patternType="none"/>
    </fill>
    <fill>
      <patternFill patternType="gray125"/>
    </fill>
    <fill>
      <patternFill patternType="solid">
        <fgColor rgb="FF305496"/>
        <bgColor rgb="FF1F4E78"/>
      </patternFill>
    </fill>
    <fill>
      <patternFill patternType="solid">
        <fgColor rgb="FFFFC7CE"/>
        <bgColor rgb="FFF6C6AD"/>
      </patternFill>
    </fill>
    <fill>
      <patternFill patternType="solid">
        <fgColor rgb="FFFFEB9C"/>
        <bgColor rgb="FFFBE2D5"/>
      </patternFill>
    </fill>
    <fill>
      <patternFill patternType="solid">
        <fgColor rgb="FFC6EFCE"/>
        <bgColor rgb="FFC1F0C8"/>
      </patternFill>
    </fill>
    <fill>
      <patternFill patternType="solid">
        <fgColor rgb="FF002060"/>
        <bgColor rgb="FF17365D"/>
      </patternFill>
    </fill>
    <fill>
      <patternFill patternType="solid">
        <fgColor theme="3" tint="0.7499"/>
        <bgColor rgb="FF83CBEB"/>
      </patternFill>
    </fill>
    <fill>
      <patternFill patternType="solid">
        <fgColor theme="9"/>
        <bgColor rgb="FF00B050"/>
      </patternFill>
    </fill>
    <fill>
      <patternFill patternType="solid">
        <fgColor theme="0"/>
        <bgColor rgb="FFEAF2F8"/>
      </patternFill>
    </fill>
    <fill>
      <patternFill patternType="solid">
        <fgColor rgb="FF83CCEB"/>
        <bgColor rgb="FF83CBEB"/>
      </patternFill>
    </fill>
    <fill>
      <patternFill patternType="solid">
        <fgColor rgb="FFFFFF00"/>
        <bgColor rgb="FFFFC000"/>
      </patternFill>
    </fill>
    <fill>
      <patternFill patternType="solid">
        <fgColor theme="0" tint="-0.15"/>
        <bgColor rgb="FFD9EAF7"/>
      </patternFill>
    </fill>
    <fill>
      <patternFill patternType="solid">
        <fgColor rgb="FFC1F0C8"/>
        <bgColor rgb="FFC6EFCE"/>
      </patternFill>
    </fill>
    <fill>
      <patternFill patternType="solid">
        <fgColor rgb="FFFBE2D5"/>
        <bgColor rgb="FFEAF2F8"/>
      </patternFill>
    </fill>
    <fill>
      <patternFill patternType="solid">
        <fgColor theme="5" tint="0.5999"/>
        <bgColor rgb="FFFFC7CE"/>
      </patternFill>
    </fill>
    <fill>
      <patternFill patternType="solid">
        <fgColor theme="0" tint="-0.35"/>
        <bgColor rgb="FFBFBFBF"/>
      </patternFill>
    </fill>
    <fill>
      <patternFill patternType="solid">
        <fgColor theme="4" tint="0.5999"/>
        <bgColor rgb="FF83CCEB"/>
      </patternFill>
    </fill>
    <fill>
      <patternFill patternType="solid">
        <fgColor rgb="FFFFC000"/>
        <bgColor rgb="FFFFFF00"/>
      </patternFill>
    </fill>
    <fill>
      <patternFill patternType="solid">
        <fgColor theme="5"/>
        <bgColor rgb="FF8B8B8B"/>
      </patternFill>
    </fill>
    <fill>
      <patternFill patternType="solid">
        <fgColor rgb="FFFF0000"/>
        <bgColor rgb="FFC00000"/>
      </patternFill>
    </fill>
    <fill>
      <patternFill patternType="solid">
        <fgColor theme="0" tint="-0.25"/>
        <bgColor rgb="FFA6CAEC"/>
      </patternFill>
    </fill>
    <fill>
      <patternFill patternType="solid">
        <fgColor theme="8" tint="0.5999"/>
        <bgColor rgb="FFBFBFBF"/>
      </patternFill>
    </fill>
    <fill>
      <patternFill patternType="solid">
        <fgColor theme="8" tint="-0.25"/>
        <bgColor rgb="FF800080"/>
      </patternFill>
    </fill>
    <fill>
      <patternFill patternType="solid">
        <fgColor rgb="FF1F4E78"/>
        <bgColor rgb="FF305496"/>
      </patternFill>
    </fill>
    <fill>
      <patternFill patternType="solid">
        <fgColor rgb="FF17365D"/>
        <bgColor rgb="FF1F4E78"/>
      </patternFill>
    </fill>
    <fill>
      <patternFill patternType="solid">
        <fgColor rgb="FF2F75B5"/>
        <bgColor rgb="FF4472C4"/>
      </patternFill>
    </fill>
    <fill>
      <patternFill patternType="solid">
        <fgColor rgb="FFEAF2F8"/>
        <bgColor rgb="FFD9EAF7"/>
      </patternFill>
    </fill>
    <fill>
      <patternFill patternType="solid">
        <fgColor rgb="FFD9EAF7"/>
        <bgColor rgb="FFEAF2F8"/>
      </patternFill>
    </fill>
  </fills>
  <borders count="2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
      <top/>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right/>
      <top style="thin"/>
      <bottom style="thin"/>
      <diagonal/>
    </border>
    <border diagonalUp="false" diagonalDown="false">
      <left/>
      <right style="thin"/>
      <top/>
      <bottom style="thin"/>
      <diagonal/>
    </border>
    <border diagonalUp="false" diagonalDown="false">
      <left style="thin"/>
      <right/>
      <top style="thin"/>
      <bottom/>
      <diagonal/>
    </border>
    <border diagonalUp="false" diagonalDown="false">
      <left style="medium"/>
      <right style="thin"/>
      <top style="thin"/>
      <bottom style="thin"/>
      <diagonal/>
    </border>
    <border diagonalUp="false" diagonalDown="false">
      <left/>
      <right style="medium"/>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left"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2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center" vertical="center" textRotation="0" wrapText="true" indent="0" shrinkToFit="false" readingOrder="1"/>
      <protection locked="true" hidden="false"/>
    </xf>
    <xf numFmtId="164" fontId="10" fillId="6" borderId="2" xfId="0" applyFont="true" applyBorder="true" applyAlignment="true" applyProtection="false">
      <alignment horizontal="center" vertical="center" textRotation="0" wrapText="false" indent="0" shrinkToFit="false" readingOrder="1"/>
      <protection locked="true" hidden="false"/>
    </xf>
    <xf numFmtId="164" fontId="11" fillId="7" borderId="3" xfId="0" applyFont="true" applyBorder="true" applyAlignment="true" applyProtection="false">
      <alignment horizontal="center" vertical="center" textRotation="0" wrapText="true" indent="0" shrinkToFit="false"/>
      <protection locked="true" hidden="false"/>
    </xf>
    <xf numFmtId="164" fontId="11" fillId="7" borderId="4" xfId="0" applyFont="true" applyBorder="true" applyAlignment="true" applyProtection="false">
      <alignment horizontal="center" vertical="center" textRotation="0" wrapText="true" indent="0" shrinkToFit="false"/>
      <protection locked="true" hidden="false"/>
    </xf>
    <xf numFmtId="164" fontId="12" fillId="8" borderId="4" xfId="0" applyFont="true" applyBorder="true" applyAlignment="true" applyProtection="false">
      <alignment horizontal="center" vertical="center" textRotation="0" wrapText="true" indent="0" shrinkToFit="false"/>
      <protection locked="true" hidden="false"/>
    </xf>
    <xf numFmtId="164" fontId="11" fillId="7" borderId="3" xfId="0" applyFont="true" applyBorder="true" applyAlignment="true" applyProtection="false">
      <alignment horizontal="center" vertical="top" textRotation="0" wrapText="true" indent="0" shrinkToFit="false"/>
      <protection locked="true" hidden="false"/>
    </xf>
    <xf numFmtId="164" fontId="13" fillId="7" borderId="3" xfId="0" applyFont="true" applyBorder="true" applyAlignment="true" applyProtection="false">
      <alignment horizontal="center"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readingOrder="1"/>
      <protection locked="true" hidden="false"/>
    </xf>
    <xf numFmtId="164" fontId="14" fillId="0" borderId="5" xfId="0" applyFont="true" applyBorder="true" applyAlignment="true" applyProtection="false">
      <alignment horizontal="left" vertical="center" textRotation="0" wrapText="true" indent="0" shrinkToFit="false" readingOrder="1"/>
      <protection locked="true" hidden="false"/>
    </xf>
    <xf numFmtId="164" fontId="14" fillId="9" borderId="6" xfId="0" applyFont="true" applyBorder="true" applyAlignment="true" applyProtection="false">
      <alignment horizontal="left" vertical="center" textRotation="0" wrapText="true" indent="0" shrinkToFit="false" readingOrder="1"/>
      <protection locked="true" hidden="false"/>
    </xf>
    <xf numFmtId="164" fontId="14" fillId="10" borderId="2" xfId="0" applyFont="true" applyBorder="true" applyAlignment="true" applyProtection="false">
      <alignment horizontal="general" vertical="top" textRotation="0" wrapText="false" indent="0" shrinkToFit="false" readingOrder="1"/>
      <protection locked="true" hidden="false"/>
    </xf>
    <xf numFmtId="164" fontId="14" fillId="0" borderId="2" xfId="0" applyFont="true" applyBorder="true" applyAlignment="true" applyProtection="false">
      <alignment horizontal="general" vertical="top" textRotation="0" wrapText="false" indent="0" shrinkToFit="false" readingOrder="1"/>
      <protection locked="true" hidden="false"/>
    </xf>
    <xf numFmtId="165" fontId="0" fillId="0" borderId="2" xfId="0" applyFont="false" applyBorder="true" applyAlignment="true" applyProtection="false">
      <alignment horizontal="general" vertical="center"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xf numFmtId="166" fontId="0" fillId="0" borderId="2" xfId="0" applyFont="fals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right" vertical="bottom" textRotation="0" wrapText="false" indent="0" shrinkToFit="false"/>
      <protection locked="true" hidden="false"/>
    </xf>
    <xf numFmtId="164" fontId="14" fillId="0" borderId="2" xfId="0" applyFont="true" applyBorder="true" applyAlignment="true" applyProtection="false">
      <alignment horizontal="center" vertical="center" textRotation="0" wrapText="true" indent="0" shrinkToFit="false" readingOrder="1"/>
      <protection locked="true" hidden="false"/>
    </xf>
    <xf numFmtId="164" fontId="14" fillId="0" borderId="7" xfId="0" applyFont="true" applyBorder="true" applyAlignment="true" applyProtection="false">
      <alignment horizontal="general" vertical="top" textRotation="0" wrapText="false" indent="0" shrinkToFit="false" readingOrder="1"/>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14" fillId="9" borderId="2" xfId="0" applyFont="true" applyBorder="true" applyAlignment="true" applyProtection="false">
      <alignment horizontal="center" vertical="center" textRotation="0" wrapText="true" indent="0" shrinkToFit="false" readingOrder="1"/>
      <protection locked="true" hidden="false"/>
    </xf>
    <xf numFmtId="164" fontId="14" fillId="11" borderId="2" xfId="0" applyFont="true" applyBorder="true" applyAlignment="true" applyProtection="false">
      <alignment horizontal="general" vertical="top" textRotation="0" wrapText="false" indent="0" shrinkToFit="false" readingOrder="1"/>
      <protection locked="true" hidden="false"/>
    </xf>
    <xf numFmtId="164" fontId="14" fillId="4" borderId="5" xfId="0" applyFont="true" applyBorder="true" applyAlignment="true" applyProtection="false">
      <alignment horizontal="center" vertical="center" textRotation="0" wrapText="true" indent="0" shrinkToFit="false" readingOrder="1"/>
      <protection locked="true" hidden="false"/>
    </xf>
    <xf numFmtId="164" fontId="14" fillId="4" borderId="2" xfId="0" applyFont="true" applyBorder="true" applyAlignment="true" applyProtection="false">
      <alignment horizontal="center" vertical="center" textRotation="0" wrapText="true" indent="0" shrinkToFit="false" readingOrder="1"/>
      <protection locked="true" hidden="false"/>
    </xf>
    <xf numFmtId="164" fontId="14" fillId="4" borderId="5" xfId="0" applyFont="true" applyBorder="true" applyAlignment="true" applyProtection="false">
      <alignment horizontal="left" vertical="center" textRotation="0" wrapText="true" indent="0" shrinkToFit="false" readingOrder="1"/>
      <protection locked="true" hidden="false"/>
    </xf>
    <xf numFmtId="164" fontId="14" fillId="4" borderId="6" xfId="0" applyFont="true" applyBorder="true" applyAlignment="true" applyProtection="false">
      <alignment horizontal="left" vertical="center" textRotation="0" wrapText="true" indent="0" shrinkToFit="false" readingOrder="1"/>
      <protection locked="true" hidden="false"/>
    </xf>
    <xf numFmtId="164" fontId="14" fillId="4" borderId="2" xfId="0" applyFont="true" applyBorder="true" applyAlignment="true" applyProtection="false">
      <alignment horizontal="general" vertical="top" textRotation="0" wrapText="false" indent="0" shrinkToFit="false" readingOrder="1"/>
      <protection locked="true" hidden="false"/>
    </xf>
    <xf numFmtId="165" fontId="0" fillId="4" borderId="2" xfId="0" applyFont="false" applyBorder="true" applyAlignment="true" applyProtection="false">
      <alignment horizontal="general" vertical="center" textRotation="0" wrapText="false" indent="0" shrinkToFit="false"/>
      <protection locked="true" hidden="false"/>
    </xf>
    <xf numFmtId="165" fontId="0" fillId="4" borderId="2" xfId="0" applyFont="false" applyBorder="true" applyAlignment="true" applyProtection="false">
      <alignment horizontal="general" vertical="bottom" textRotation="0" wrapText="false" indent="0" shrinkToFit="false"/>
      <protection locked="true" hidden="false"/>
    </xf>
    <xf numFmtId="166" fontId="0" fillId="4" borderId="2" xfId="0" applyFont="false" applyBorder="true" applyAlignment="true" applyProtection="false">
      <alignment horizontal="general" vertical="bottom" textRotation="0" wrapText="false" indent="0" shrinkToFit="false"/>
      <protection locked="true" hidden="false"/>
    </xf>
    <xf numFmtId="165" fontId="0" fillId="4" borderId="2" xfId="0" applyFont="false" applyBorder="true" applyAlignment="true" applyProtection="false">
      <alignment horizontal="right" vertical="bottom" textRotation="0" wrapText="false" indent="0" shrinkToFit="false"/>
      <protection locked="true" hidden="false"/>
    </xf>
    <xf numFmtId="167" fontId="0" fillId="4" borderId="0" xfId="0" applyFont="false" applyBorder="false" applyAlignment="true" applyProtection="false">
      <alignment horizontal="general" vertical="bottom" textRotation="0" wrapText="false" indent="0" shrinkToFit="false"/>
      <protection locked="true" hidden="false"/>
    </xf>
    <xf numFmtId="165" fontId="15" fillId="0" borderId="2" xfId="0" applyFont="true" applyBorder="true" applyAlignment="true" applyProtection="false">
      <alignment horizontal="general" vertical="bottom" textRotation="0" wrapText="false" indent="0" shrinkToFit="false"/>
      <protection locked="true" hidden="false"/>
    </xf>
    <xf numFmtId="166" fontId="0" fillId="12" borderId="2" xfId="0" applyFont="false" applyBorder="true" applyAlignment="tru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left" vertical="center" textRotation="0" wrapText="true" indent="0" shrinkToFit="false" readingOrder="1"/>
      <protection locked="true" hidden="false"/>
    </xf>
    <xf numFmtId="164" fontId="14" fillId="0" borderId="6" xfId="0" applyFont="true" applyBorder="true" applyAlignment="true" applyProtection="false">
      <alignment horizontal="left" vertical="center" textRotation="0" wrapText="true" indent="0" shrinkToFit="false" readingOrder="1"/>
      <protection locked="true" hidden="false"/>
    </xf>
    <xf numFmtId="164" fontId="14" fillId="13" borderId="2" xfId="0" applyFont="true" applyBorder="true" applyAlignment="true" applyProtection="false">
      <alignment horizontal="general" vertical="top" textRotation="0" wrapText="false" indent="0" shrinkToFit="false" readingOrder="1"/>
      <protection locked="true" hidden="false"/>
    </xf>
    <xf numFmtId="165" fontId="0" fillId="0" borderId="2" xfId="0" applyFont="false" applyBorder="true" applyAlignment="true" applyProtection="false">
      <alignment horizontal="center" vertical="bottom" textRotation="0" wrapText="false" indent="0" shrinkToFit="false"/>
      <protection locked="true" hidden="false"/>
    </xf>
    <xf numFmtId="166" fontId="0" fillId="11" borderId="2" xfId="0" applyFont="false" applyBorder="true" applyAlignment="true" applyProtection="false">
      <alignment horizontal="general" vertical="bottom" textRotation="0" wrapText="false" indent="0" shrinkToFit="false"/>
      <protection locked="true" hidden="false"/>
    </xf>
    <xf numFmtId="164" fontId="14" fillId="14" borderId="2" xfId="0" applyFont="true" applyBorder="true" applyAlignment="true" applyProtection="false">
      <alignment horizontal="general" vertical="top" textRotation="0" wrapText="false" indent="0" shrinkToFit="false" readingOrder="1"/>
      <protection locked="true" hidden="false"/>
    </xf>
    <xf numFmtId="164" fontId="14" fillId="14" borderId="2" xfId="0" applyFont="true" applyBorder="true" applyAlignment="true" applyProtection="false">
      <alignment horizontal="left" vertical="top" textRotation="0" wrapText="false" indent="0" shrinkToFit="false" readingOrder="1"/>
      <protection locked="true" hidden="false"/>
    </xf>
    <xf numFmtId="164" fontId="14" fillId="4" borderId="2" xfId="0" applyFont="true" applyBorder="true" applyAlignment="true" applyProtection="false">
      <alignment horizontal="left" vertical="center" textRotation="0" wrapText="false" indent="0" shrinkToFit="false" readingOrder="1"/>
      <protection locked="true" hidden="false"/>
    </xf>
    <xf numFmtId="164" fontId="16" fillId="0" borderId="6" xfId="0" applyFont="true" applyBorder="true" applyAlignment="true" applyProtection="false">
      <alignment horizontal="general" vertical="bottom" textRotation="0" wrapText="tru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5" fontId="0" fillId="12" borderId="2" xfId="0" applyFont="false" applyBorder="true" applyAlignment="true" applyProtection="false">
      <alignment horizontal="right" vertical="bottom" textRotation="0" wrapText="false" indent="0" shrinkToFit="false"/>
      <protection locked="true" hidden="false"/>
    </xf>
    <xf numFmtId="164" fontId="14" fillId="0" borderId="3" xfId="0" applyFont="true" applyBorder="true" applyAlignment="true" applyProtection="false">
      <alignment horizontal="center" vertical="center" textRotation="0" wrapText="true" indent="0" shrinkToFit="false" readingOrder="1"/>
      <protection locked="true" hidden="false"/>
    </xf>
    <xf numFmtId="164" fontId="14" fillId="0" borderId="3" xfId="0" applyFont="true" applyBorder="true" applyAlignment="true" applyProtection="false">
      <alignment horizontal="left" vertical="center" textRotation="0" wrapText="true" indent="0" shrinkToFit="false" readingOrder="1"/>
      <protection locked="true" hidden="false"/>
    </xf>
    <xf numFmtId="164" fontId="14" fillId="9" borderId="3" xfId="0" applyFont="true" applyBorder="true" applyAlignment="true" applyProtection="false">
      <alignment horizontal="left" vertical="center" textRotation="0" wrapText="true" indent="0" shrinkToFit="false" readingOrder="1"/>
      <protection locked="true" hidden="false"/>
    </xf>
    <xf numFmtId="165" fontId="0" fillId="12" borderId="2" xfId="0" applyFont="false" applyBorder="true" applyAlignment="tru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16" fillId="9" borderId="2" xfId="0" applyFont="true" applyBorder="true" applyAlignment="true" applyProtection="false">
      <alignment horizontal="general" vertical="bottom" textRotation="0" wrapText="true" indent="0" shrinkToFit="false"/>
      <protection locked="true" hidden="false"/>
    </xf>
    <xf numFmtId="164" fontId="14" fillId="9" borderId="5" xfId="0" applyFont="true" applyBorder="true" applyAlignment="true" applyProtection="false">
      <alignment horizontal="left" vertical="center" textRotation="0" wrapText="true" indent="0" shrinkToFit="false" readingOrder="1"/>
      <protection locked="true" hidden="false"/>
    </xf>
    <xf numFmtId="164" fontId="14" fillId="0" borderId="2" xfId="0" applyFont="true" applyBorder="true" applyAlignment="true" applyProtection="false">
      <alignment horizontal="general" vertical="center" textRotation="0" wrapText="false" indent="0" shrinkToFit="false" readingOrder="1"/>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4" fillId="3" borderId="2" xfId="0" applyFont="true" applyBorder="true" applyAlignment="true" applyProtection="false">
      <alignment horizontal="general" vertical="center" textRotation="0" wrapText="false" indent="0" shrinkToFit="false" readingOrder="1"/>
      <protection locked="true" hidden="false"/>
    </xf>
    <xf numFmtId="164" fontId="16" fillId="3" borderId="2" xfId="0" applyFont="true" applyBorder="tru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8" fontId="0" fillId="0" borderId="2" xfId="0" applyFont="fals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left" vertical="bottom" textRotation="0" wrapText="false" indent="0" shrinkToFit="false"/>
      <protection locked="true" hidden="false"/>
    </xf>
    <xf numFmtId="164" fontId="0" fillId="0" borderId="10" xfId="0" applyFont="true" applyBorder="true" applyAlignment="true" applyProtection="false">
      <alignment horizontal="left" vertical="bottom" textRotation="0" wrapText="false" indent="0" shrinkToFit="false"/>
      <protection locked="true" hidden="false"/>
    </xf>
    <xf numFmtId="164" fontId="0" fillId="0" borderId="11" xfId="0" applyFont="true" applyBorder="true" applyAlignment="true" applyProtection="false">
      <alignment horizontal="left" vertical="bottom" textRotation="0" wrapText="false" indent="0" shrinkToFit="false"/>
      <protection locked="true" hidden="false"/>
    </xf>
    <xf numFmtId="164" fontId="0" fillId="0" borderId="12" xfId="0" applyFont="true" applyBorder="true" applyAlignment="true" applyProtection="false">
      <alignment horizontal="left" vertical="bottom" textRotation="0" wrapText="false" indent="1"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65" fontId="0" fillId="0" borderId="13" xfId="0" applyFont="false" applyBorder="true" applyAlignment="true" applyProtection="false">
      <alignment horizontal="general" vertical="bottom" textRotation="0" wrapText="false" indent="0" shrinkToFit="false"/>
      <protection locked="true" hidden="false"/>
    </xf>
    <xf numFmtId="166" fontId="0" fillId="0" borderId="13" xfId="0" applyFont="false" applyBorder="true" applyAlignment="true" applyProtection="false">
      <alignment horizontal="general" vertical="bottom" textRotation="0" wrapText="false" indent="0" shrinkToFit="false"/>
      <protection locked="true" hidden="false"/>
    </xf>
    <xf numFmtId="166" fontId="0" fillId="0" borderId="14" xfId="0" applyFont="false" applyBorder="true" applyAlignment="tru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left" vertical="bottom" textRotation="0" wrapText="false" indent="1" shrinkToFit="false"/>
      <protection locked="true" hidden="false"/>
    </xf>
    <xf numFmtId="165" fontId="0" fillId="0" borderId="4"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0" fillId="0" borderId="16" xfId="0" applyFont="false" applyBorder="true" applyAlignment="true" applyProtection="false">
      <alignment horizontal="general" vertical="bottom" textRotation="0" wrapText="false" indent="0" shrinkToFit="false"/>
      <protection locked="true" hidden="false"/>
    </xf>
    <xf numFmtId="164" fontId="0" fillId="0" borderId="16" xfId="0" applyFont="false" applyBorder="true" applyAlignment="true" applyProtection="false">
      <alignment horizontal="general" vertical="bottom" textRotation="0" wrapText="false" indent="0" shrinkToFit="false"/>
      <protection locked="true" hidden="false"/>
    </xf>
    <xf numFmtId="164" fontId="0" fillId="0" borderId="8" xfId="0" applyFont="true" applyBorder="true" applyAlignment="true" applyProtection="false">
      <alignment horizontal="left" vertical="bottom" textRotation="0" wrapText="false" indent="1" shrinkToFit="false"/>
      <protection locked="true" hidden="false"/>
    </xf>
    <xf numFmtId="165" fontId="0" fillId="0" borderId="5" xfId="0" applyFont="false" applyBorder="true" applyAlignment="true" applyProtection="false">
      <alignment horizontal="general" vertical="bottom" textRotation="0" wrapText="false" indent="0" shrinkToFit="false"/>
      <protection locked="true" hidden="false"/>
    </xf>
    <xf numFmtId="165" fontId="0" fillId="0" borderId="10" xfId="0" applyFont="false" applyBorder="true" applyAlignment="true" applyProtection="false">
      <alignment horizontal="general" vertical="bottom" textRotation="0" wrapText="false" indent="0" shrinkToFit="false"/>
      <protection locked="true" hidden="false"/>
    </xf>
    <xf numFmtId="166" fontId="0" fillId="0" borderId="10" xfId="0" applyFont="false" applyBorder="true" applyAlignment="true" applyProtection="false">
      <alignment horizontal="general" vertical="bottom" textRotation="0" wrapText="false" indent="0" shrinkToFit="false"/>
      <protection locked="true" hidden="false"/>
    </xf>
    <xf numFmtId="166" fontId="0" fillId="0" borderId="11"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10" xfId="0" applyFont="false" applyBorder="true" applyAlignment="tru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left" vertical="bottom" textRotation="0" wrapText="false" indent="0" shrinkToFit="false"/>
      <protection locked="true" hidden="false"/>
    </xf>
    <xf numFmtId="165" fontId="4" fillId="0" borderId="18" xfId="0" applyFont="true" applyBorder="true" applyAlignment="true" applyProtection="false">
      <alignment horizontal="general" vertical="bottom" textRotation="0" wrapText="false" indent="0" shrinkToFit="false"/>
      <protection locked="true" hidden="false"/>
    </xf>
    <xf numFmtId="165" fontId="4" fillId="0" borderId="19" xfId="0" applyFont="true" applyBorder="true" applyAlignment="true" applyProtection="false">
      <alignment horizontal="general" vertical="bottom" textRotation="0" wrapText="false" indent="0" shrinkToFit="false"/>
      <protection locked="true" hidden="false"/>
    </xf>
    <xf numFmtId="166" fontId="4" fillId="0" borderId="19" xfId="0" applyFont="true" applyBorder="true" applyAlignment="true" applyProtection="false">
      <alignment horizontal="general" vertical="bottom" textRotation="0" wrapText="false" indent="0" shrinkToFit="false"/>
      <protection locked="true" hidden="false"/>
    </xf>
    <xf numFmtId="166" fontId="4" fillId="0" borderId="20"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1" fillId="15" borderId="2" xfId="0" applyFont="true" applyBorder="true" applyAlignment="true" applyProtection="false">
      <alignment horizontal="general" vertical="center" textRotation="0" wrapText="true" indent="0" shrinkToFit="false"/>
      <protection locked="true" hidden="false"/>
    </xf>
    <xf numFmtId="164" fontId="11" fillId="16" borderId="2" xfId="0" applyFont="true" applyBorder="true" applyAlignment="true" applyProtection="false">
      <alignment horizontal="general" vertical="center" textRotation="0" wrapText="true" indent="0" shrinkToFit="false"/>
      <protection locked="true" hidden="false"/>
    </xf>
    <xf numFmtId="164" fontId="0" fillId="17" borderId="2" xfId="0" applyFont="true" applyBorder="true" applyAlignment="true" applyProtection="false">
      <alignment horizontal="general" vertical="center" textRotation="0" wrapText="true" indent="0" shrinkToFit="false"/>
      <protection locked="true" hidden="false"/>
    </xf>
    <xf numFmtId="164" fontId="11" fillId="15" borderId="6" xfId="0" applyFont="true" applyBorder="true" applyAlignment="true" applyProtection="false">
      <alignment horizontal="general" vertical="center" textRotation="0" wrapText="true" indent="0" shrinkToFit="false"/>
      <protection locked="true" hidden="false"/>
    </xf>
    <xf numFmtId="164" fontId="11" fillId="16" borderId="6" xfId="0" applyFont="true" applyBorder="true" applyAlignment="true" applyProtection="false">
      <alignment horizontal="general" vertical="center" textRotation="0" wrapText="true" indent="0" shrinkToFit="false"/>
      <protection locked="true" hidden="false"/>
    </xf>
    <xf numFmtId="164" fontId="12" fillId="15" borderId="2" xfId="0" applyFont="true" applyBorder="true" applyAlignment="true" applyProtection="false">
      <alignment horizontal="general" vertical="center" textRotation="0" wrapText="true" indent="0" shrinkToFit="false"/>
      <protection locked="true" hidden="false"/>
    </xf>
    <xf numFmtId="164" fontId="11" fillId="16" borderId="4" xfId="0" applyFont="true" applyBorder="true" applyAlignment="true" applyProtection="false">
      <alignment horizontal="general" vertical="center" textRotation="0" wrapText="true" indent="0" shrinkToFit="false"/>
      <protection locked="true" hidden="false"/>
    </xf>
    <xf numFmtId="164" fontId="11" fillId="16" borderId="4"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center" vertical="top" textRotation="0" wrapText="false" indent="0" shrinkToFit="false" readingOrder="1"/>
      <protection locked="true" hidden="false"/>
    </xf>
    <xf numFmtId="164" fontId="14" fillId="18" borderId="2" xfId="0" applyFont="true" applyBorder="true" applyAlignment="true" applyProtection="false">
      <alignment horizontal="center" vertical="top" textRotation="0" wrapText="false" indent="0" shrinkToFit="false"/>
      <protection locked="true" hidden="false"/>
    </xf>
    <xf numFmtId="164" fontId="14" fillId="18" borderId="2" xfId="0" applyFont="true" applyBorder="true" applyAlignment="true" applyProtection="false">
      <alignment horizontal="center" vertical="center" textRotation="0" wrapText="false" indent="0" shrinkToFit="false"/>
      <protection locked="true" hidden="false"/>
    </xf>
    <xf numFmtId="164" fontId="14" fillId="18" borderId="2" xfId="0" applyFont="true" applyBorder="true" applyAlignment="true" applyProtection="false">
      <alignment horizontal="center" vertical="center" textRotation="0" wrapText="true" indent="0" shrinkToFit="false"/>
      <protection locked="true" hidden="false"/>
    </xf>
    <xf numFmtId="164" fontId="14" fillId="18" borderId="6" xfId="0" applyFont="true" applyBorder="true" applyAlignment="true" applyProtection="false">
      <alignment horizontal="center" vertical="center" textRotation="0" wrapText="true" indent="0" shrinkToFit="false"/>
      <protection locked="true" hidden="false"/>
    </xf>
    <xf numFmtId="167" fontId="0" fillId="19" borderId="2" xfId="0" applyFont="fals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4" fillId="20" borderId="2" xfId="0" applyFont="true" applyBorder="true" applyAlignment="true" applyProtection="false">
      <alignment horizontal="center" vertical="center" textRotation="0" wrapText="true" indent="0" shrinkToFit="false"/>
      <protection locked="true" hidden="false"/>
    </xf>
    <xf numFmtId="164" fontId="14" fillId="18" borderId="7" xfId="0" applyFont="true" applyBorder="true" applyAlignment="true" applyProtection="false">
      <alignment horizontal="center" vertical="top" textRotation="0" wrapText="false" indent="0" shrinkToFit="false"/>
      <protection locked="true" hidden="false"/>
    </xf>
    <xf numFmtId="164" fontId="14" fillId="18" borderId="7" xfId="0" applyFont="true" applyBorder="true" applyAlignment="true" applyProtection="false">
      <alignment horizontal="center" vertical="bottom" textRotation="0" wrapText="false" indent="0" shrinkToFit="false"/>
      <protection locked="true" hidden="false"/>
    </xf>
    <xf numFmtId="164" fontId="14" fillId="18" borderId="2" xfId="0" applyFont="true" applyBorder="true" applyAlignment="true" applyProtection="false">
      <alignment horizontal="center" vertical="bottom" textRotation="0" wrapText="true" indent="0" shrinkToFit="false"/>
      <protection locked="true" hidden="false"/>
    </xf>
    <xf numFmtId="164" fontId="14" fillId="18" borderId="7" xfId="0" applyFont="true" applyBorder="true" applyAlignment="true" applyProtection="false">
      <alignment horizontal="center" vertical="bottom" textRotation="0" wrapText="true" indent="0" shrinkToFit="false"/>
      <protection locked="true" hidden="false"/>
    </xf>
    <xf numFmtId="164" fontId="16" fillId="18" borderId="2" xfId="0" applyFont="true" applyBorder="true" applyAlignment="true" applyProtection="false">
      <alignment horizontal="center" vertical="center" textRotation="0" wrapText="true" indent="0" shrinkToFit="false"/>
      <protection locked="true" hidden="false"/>
    </xf>
    <xf numFmtId="164" fontId="16" fillId="18" borderId="2" xfId="0" applyFont="true" applyBorder="true" applyAlignment="true" applyProtection="false">
      <alignment horizontal="center" vertical="center" textRotation="0" wrapText="false" indent="0" shrinkToFit="false"/>
      <protection locked="true" hidden="false"/>
    </xf>
    <xf numFmtId="164" fontId="14" fillId="18" borderId="21" xfId="0" applyFont="true" applyBorder="true" applyAlignment="true" applyProtection="false">
      <alignment horizontal="center" vertical="bottom" textRotation="0" wrapText="true" indent="0" shrinkToFit="false"/>
      <protection locked="true" hidden="false"/>
    </xf>
    <xf numFmtId="164" fontId="14" fillId="18" borderId="22" xfId="0" applyFont="true" applyBorder="true" applyAlignment="true" applyProtection="false">
      <alignment horizontal="center" vertical="top" textRotation="0" wrapText="false" indent="0" shrinkToFit="false"/>
      <protection locked="true" hidden="false"/>
    </xf>
    <xf numFmtId="164" fontId="14" fillId="18" borderId="22" xfId="0" applyFont="true" applyBorder="true" applyAlignment="true" applyProtection="false">
      <alignment horizontal="center" vertical="center" textRotation="0" wrapText="false" indent="0" shrinkToFit="false"/>
      <protection locked="true" hidden="false"/>
    </xf>
    <xf numFmtId="164" fontId="14" fillId="18" borderId="5" xfId="0" applyFont="true" applyBorder="true" applyAlignment="true" applyProtection="false">
      <alignment horizontal="center" vertical="top" textRotation="0" wrapText="false" indent="0" shrinkToFit="false"/>
      <protection locked="true" hidden="false"/>
    </xf>
    <xf numFmtId="164" fontId="14" fillId="18" borderId="5" xfId="0" applyFont="true" applyBorder="true" applyAlignment="true" applyProtection="false">
      <alignment horizontal="center" vertical="center" textRotation="0" wrapText="false" indent="0" shrinkToFit="false"/>
      <protection locked="true" hidden="false"/>
    </xf>
    <xf numFmtId="164" fontId="16" fillId="20" borderId="2" xfId="0" applyFont="true" applyBorder="true" applyAlignment="true" applyProtection="false">
      <alignment horizontal="center" vertical="center" textRotation="0" wrapText="true" indent="0" shrinkToFit="false"/>
      <protection locked="true" hidden="false"/>
    </xf>
    <xf numFmtId="164" fontId="14" fillId="18" borderId="5" xfId="0" applyFont="true" applyBorder="true" applyAlignment="true" applyProtection="false">
      <alignment horizontal="center" vertical="center" textRotation="0" wrapText="true" indent="0" shrinkToFit="false"/>
      <protection locked="true" hidden="false"/>
    </xf>
    <xf numFmtId="164" fontId="14" fillId="18" borderId="9" xfId="0" applyFont="true" applyBorder="true" applyAlignment="true" applyProtection="false">
      <alignment horizontal="center" vertical="center" textRotation="0" wrapText="true" indent="0" shrinkToFit="false"/>
      <protection locked="true" hidden="false"/>
    </xf>
    <xf numFmtId="164" fontId="16" fillId="18" borderId="2" xfId="0" applyFont="true" applyBorder="true" applyAlignment="true" applyProtection="false">
      <alignment horizontal="center" vertical="bottom" textRotation="0" wrapText="false" indent="0" shrinkToFit="false"/>
      <protection locked="true" hidden="false"/>
    </xf>
    <xf numFmtId="164" fontId="16" fillId="18" borderId="2" xfId="0" applyFont="true" applyBorder="true" applyAlignment="true" applyProtection="false">
      <alignment horizontal="center" vertical="bottom" textRotation="0" wrapText="true" indent="0" shrinkToFit="false"/>
      <protection locked="true" hidden="false"/>
    </xf>
    <xf numFmtId="164" fontId="16" fillId="18" borderId="6" xfId="0" applyFont="true" applyBorder="true" applyAlignment="true" applyProtection="false">
      <alignment horizontal="center" vertical="bottom" textRotation="0" wrapText="true" indent="0" shrinkToFit="false"/>
      <protection locked="true" hidden="false"/>
    </xf>
    <xf numFmtId="164" fontId="16" fillId="18" borderId="6" xfId="0" applyFont="true" applyBorder="true" applyAlignment="true" applyProtection="false">
      <alignment horizontal="center" vertical="center" textRotation="0" wrapText="true" indent="0" shrinkToFit="false"/>
      <protection locked="true" hidden="false"/>
    </xf>
    <xf numFmtId="164" fontId="0" fillId="21" borderId="0" xfId="0" applyFont="false" applyBorder="false" applyAlignment="true" applyProtection="false">
      <alignment horizontal="general" vertical="bottom" textRotation="0" wrapText="false" indent="0" shrinkToFit="false"/>
      <protection locked="true" hidden="false"/>
    </xf>
    <xf numFmtId="170" fontId="0" fillId="21" borderId="0" xfId="0" applyFont="false" applyBorder="false" applyAlignment="true" applyProtection="false">
      <alignment horizontal="general" vertical="bottom" textRotation="0" wrapText="false" indent="0" shrinkToFit="false"/>
      <protection locked="true" hidden="false"/>
    </xf>
    <xf numFmtId="171" fontId="0" fillId="21" borderId="0" xfId="0" applyFont="false" applyBorder="false" applyAlignment="true" applyProtection="false">
      <alignment horizontal="general" vertical="bottom" textRotation="0" wrapText="false" indent="0" shrinkToFit="false"/>
      <protection locked="true" hidden="false"/>
    </xf>
    <xf numFmtId="164" fontId="0" fillId="21" borderId="0" xfId="0" applyFont="false" applyBorder="false" applyAlignment="true" applyProtection="false">
      <alignment horizontal="center" vertical="bottom" textRotation="0" wrapText="false" indent="0" shrinkToFit="false"/>
      <protection locked="true" hidden="false"/>
    </xf>
    <xf numFmtId="164" fontId="20" fillId="21"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1" fillId="18" borderId="2" xfId="0" applyFont="true" applyBorder="true" applyAlignment="true" applyProtection="false">
      <alignment horizontal="center" vertical="top" textRotation="0" wrapText="false" indent="0" shrinkToFit="false"/>
      <protection locked="true" hidden="false"/>
    </xf>
    <xf numFmtId="164" fontId="22" fillId="18" borderId="2" xfId="0" applyFont="true" applyBorder="true" applyAlignment="true" applyProtection="false">
      <alignment horizontal="center" vertical="center" textRotation="0" wrapText="false" indent="0" shrinkToFit="false"/>
      <protection locked="true" hidden="false"/>
    </xf>
    <xf numFmtId="164" fontId="22" fillId="18" borderId="6" xfId="0" applyFont="true" applyBorder="true" applyAlignment="true" applyProtection="false">
      <alignment horizontal="center" vertical="center" textRotation="0" wrapText="false" indent="0" shrinkToFit="false"/>
      <protection locked="true" hidden="false"/>
    </xf>
    <xf numFmtId="164" fontId="16" fillId="18" borderId="6" xfId="0" applyFont="true" applyBorder="true" applyAlignment="true" applyProtection="false">
      <alignment horizontal="center" vertical="center" textRotation="0" wrapText="false" indent="0" shrinkToFit="false"/>
      <protection locked="true" hidden="false"/>
    </xf>
    <xf numFmtId="164" fontId="14" fillId="18" borderId="23" xfId="0" applyFont="true" applyBorder="true" applyAlignment="true" applyProtection="false">
      <alignment horizontal="center" vertical="center" textRotation="0" wrapText="true" indent="0" shrinkToFit="false"/>
      <protection locked="true" hidden="false"/>
    </xf>
    <xf numFmtId="164" fontId="14" fillId="18" borderId="21" xfId="0" applyFont="true" applyBorder="true" applyAlignment="true" applyProtection="false">
      <alignment horizontal="center" vertical="center" textRotation="0" wrapText="true" indent="0" shrinkToFit="false"/>
      <protection locked="true" hidden="false"/>
    </xf>
    <xf numFmtId="164" fontId="14" fillId="18" borderId="22" xfId="0" applyFont="true" applyBorder="true" applyAlignment="true" applyProtection="false">
      <alignment horizontal="center" vertical="center" textRotation="0" wrapText="true" indent="0" shrinkToFit="false"/>
      <protection locked="true" hidden="false"/>
    </xf>
    <xf numFmtId="164" fontId="14" fillId="18" borderId="0" xfId="0" applyFont="true" applyBorder="false" applyAlignment="true" applyProtection="false">
      <alignment horizontal="center" vertical="center" textRotation="0" wrapText="true" indent="0" shrinkToFit="false"/>
      <protection locked="true" hidden="false"/>
    </xf>
    <xf numFmtId="164" fontId="14" fillId="18" borderId="2" xfId="0" applyFont="true" applyBorder="true" applyAlignment="true" applyProtection="false">
      <alignment horizontal="center" vertical="bottom" textRotation="0" wrapText="false" indent="0" shrinkToFit="false"/>
      <protection locked="true" hidden="false"/>
    </xf>
    <xf numFmtId="164" fontId="14" fillId="18" borderId="6" xfId="0" applyFont="true" applyBorder="true" applyAlignment="true" applyProtection="false">
      <alignment horizontal="center" vertical="bottom" textRotation="0" wrapText="true" indent="0" shrinkToFit="false"/>
      <protection locked="true" hidden="false"/>
    </xf>
    <xf numFmtId="164" fontId="14" fillId="0" borderId="2" xfId="0" applyFont="true" applyBorder="true" applyAlignment="true" applyProtection="false">
      <alignment horizontal="center" vertical="center" textRotation="0" wrapText="false" indent="0" shrinkToFit="false" readingOrder="1"/>
      <protection locked="true" hidden="false"/>
    </xf>
    <xf numFmtId="164" fontId="14" fillId="9" borderId="2" xfId="0" applyFont="true" applyBorder="true" applyAlignment="true" applyProtection="false">
      <alignment horizontal="left" vertical="center" textRotation="0" wrapText="false" indent="0" shrinkToFit="false" readingOrder="1"/>
      <protection locked="true" hidden="false"/>
    </xf>
    <xf numFmtId="164" fontId="14" fillId="18" borderId="3" xfId="0" applyFont="true" applyBorder="true" applyAlignment="true" applyProtection="false">
      <alignment horizontal="center" vertical="bottom" textRotation="0" wrapText="false" indent="0" shrinkToFit="false"/>
      <protection locked="true" hidden="false"/>
    </xf>
    <xf numFmtId="164" fontId="14" fillId="18" borderId="3" xfId="0" applyFont="true" applyBorder="true" applyAlignment="true" applyProtection="false">
      <alignment horizontal="center" vertical="bottom" textRotation="0" wrapText="true" indent="0" shrinkToFit="false"/>
      <protection locked="true" hidden="false"/>
    </xf>
    <xf numFmtId="164" fontId="14" fillId="18" borderId="23" xfId="0" applyFont="true" applyBorder="true" applyAlignment="true" applyProtection="false">
      <alignment horizontal="center" vertical="bottom" textRotation="0" wrapText="true" indent="0" shrinkToFit="false"/>
      <protection locked="true" hidden="false"/>
    </xf>
    <xf numFmtId="164" fontId="0" fillId="0" borderId="24" xfId="0" applyFont="true" applyBorder="true" applyAlignment="true" applyProtection="false">
      <alignment horizontal="left" vertical="bottom" textRotation="0" wrapText="false" indent="1" shrinkToFit="false"/>
      <protection locked="true" hidden="false"/>
    </xf>
    <xf numFmtId="165" fontId="0" fillId="0" borderId="21" xfId="0" applyFont="false" applyBorder="true" applyAlignment="true" applyProtection="false">
      <alignment horizontal="general" vertical="bottom" textRotation="0" wrapText="false" indent="0" shrinkToFit="false"/>
      <protection locked="true" hidden="false"/>
    </xf>
    <xf numFmtId="171" fontId="0" fillId="0" borderId="21" xfId="0" applyFont="false" applyBorder="true" applyAlignment="true" applyProtection="false">
      <alignment horizontal="general" vertical="bottom" textRotation="0" wrapText="false" indent="0" shrinkToFit="false"/>
      <protection locked="true" hidden="false"/>
    </xf>
    <xf numFmtId="171" fontId="0" fillId="0" borderId="25" xfId="0" applyFont="false" applyBorder="true" applyAlignment="true" applyProtection="false">
      <alignment horizontal="general" vertical="bottom" textRotation="0" wrapText="false" indent="0" shrinkToFit="false"/>
      <protection locked="true" hidden="false"/>
    </xf>
    <xf numFmtId="171" fontId="4" fillId="0" borderId="19" xfId="0" applyFont="true" applyBorder="true" applyAlignment="true" applyProtection="false">
      <alignment horizontal="general" vertical="bottom" textRotation="0" wrapText="false" indent="0" shrinkToFit="false"/>
      <protection locked="true" hidden="false"/>
    </xf>
    <xf numFmtId="171" fontId="4" fillId="0" borderId="20" xfId="0" applyFont="true" applyBorder="true" applyAlignment="true" applyProtection="false">
      <alignment horizontal="general" vertical="bottom" textRotation="0" wrapText="false" indent="0" shrinkToFit="false"/>
      <protection locked="true" hidden="false"/>
    </xf>
    <xf numFmtId="164" fontId="23" fillId="22" borderId="2" xfId="0" applyFont="true" applyBorder="true" applyAlignment="true" applyProtection="false">
      <alignment horizontal="center" vertical="center" textRotation="0" wrapText="true" indent="0" shrinkToFit="false"/>
      <protection locked="true" hidden="false"/>
    </xf>
    <xf numFmtId="164" fontId="11" fillId="16" borderId="2" xfId="0" applyFont="true" applyBorder="true" applyAlignment="true" applyProtection="false">
      <alignment horizontal="center" vertical="center" textRotation="0" wrapText="true" indent="0" shrinkToFit="false"/>
      <protection locked="true" hidden="false"/>
    </xf>
    <xf numFmtId="164" fontId="14" fillId="9" borderId="2" xfId="0" applyFont="true" applyBorder="true" applyAlignment="true" applyProtection="false">
      <alignment horizontal="left" vertical="center" textRotation="0" wrapText="true" indent="0" shrinkToFit="false" readingOrder="1"/>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8" fontId="0" fillId="0" borderId="2" xfId="0" applyFont="false" applyBorder="true" applyAlignment="true" applyProtection="false">
      <alignment horizontal="center" vertical="center" textRotation="0" wrapText="false" indent="0" shrinkToFit="false"/>
      <protection locked="true" hidden="false"/>
    </xf>
    <xf numFmtId="168" fontId="4" fillId="0" borderId="2" xfId="0" applyFont="true" applyBorder="true" applyAlignment="true" applyProtection="false">
      <alignment horizontal="center" vertical="center" textRotation="0" wrapText="false" indent="0" shrinkToFit="false"/>
      <protection locked="true" hidden="false"/>
    </xf>
    <xf numFmtId="168" fontId="0" fillId="21" borderId="2" xfId="0" applyFont="fals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general" vertical="bottom" textRotation="0" wrapText="true" indent="0" shrinkToFit="false"/>
      <protection locked="true" hidden="false"/>
    </xf>
    <xf numFmtId="164" fontId="16" fillId="0" borderId="2" xfId="0" applyFont="true" applyBorder="true" applyAlignment="true" applyProtection="false">
      <alignment horizontal="left" vertical="top" textRotation="0" wrapText="true" indent="0" shrinkToFit="false"/>
      <protection locked="true" hidden="false"/>
    </xf>
    <xf numFmtId="168" fontId="24" fillId="0" borderId="2" xfId="0" applyFont="true" applyBorder="true" applyAlignment="true" applyProtection="false">
      <alignment horizontal="center" vertical="center" textRotation="0" wrapText="false" indent="0" shrinkToFit="false"/>
      <protection locked="true" hidden="false"/>
    </xf>
    <xf numFmtId="164" fontId="0" fillId="21" borderId="2" xfId="0" applyFont="false" applyBorder="true" applyAlignment="true" applyProtection="false">
      <alignment horizontal="center" vertical="center" textRotation="0" wrapText="false" indent="0" shrinkToFit="false"/>
      <protection locked="true" hidden="false"/>
    </xf>
    <xf numFmtId="168" fontId="4" fillId="21" borderId="2"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8" fontId="0" fillId="0" borderId="21" xfId="0" applyFont="false" applyBorder="true" applyAlignment="true" applyProtection="false">
      <alignment horizontal="general" vertical="bottom" textRotation="0" wrapText="false" indent="0" shrinkToFit="false"/>
      <protection locked="true" hidden="false"/>
    </xf>
    <xf numFmtId="168" fontId="0" fillId="0" borderId="25" xfId="0" applyFont="false" applyBorder="true" applyAlignment="true" applyProtection="false">
      <alignment horizontal="general" vertical="bottom" textRotation="0" wrapText="false" indent="0" shrinkToFit="false"/>
      <protection locked="true" hidden="false"/>
    </xf>
    <xf numFmtId="168" fontId="4" fillId="0" borderId="18" xfId="0" applyFont="true" applyBorder="true" applyAlignment="true" applyProtection="false">
      <alignment horizontal="general" vertical="bottom" textRotation="0" wrapText="false" indent="0" shrinkToFit="false"/>
      <protection locked="true" hidden="false"/>
    </xf>
    <xf numFmtId="168" fontId="4" fillId="0" borderId="19" xfId="0" applyFont="true" applyBorder="true" applyAlignment="true" applyProtection="false">
      <alignment horizontal="general" vertical="bottom" textRotation="0" wrapText="false" indent="0" shrinkToFit="false"/>
      <protection locked="true" hidden="false"/>
    </xf>
    <xf numFmtId="168" fontId="4" fillId="0" borderId="20" xfId="0" applyFont="true" applyBorder="tru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1" fillId="7" borderId="3" xfId="0" applyFont="true" applyBorder="true" applyAlignment="true" applyProtection="false">
      <alignment horizontal="general" vertical="top" textRotation="0" wrapText="true" indent="0" shrinkToFit="false"/>
      <protection locked="true" hidden="false"/>
    </xf>
    <xf numFmtId="164" fontId="11" fillId="16" borderId="2" xfId="0" applyFont="true" applyBorder="true" applyAlignment="true" applyProtection="false">
      <alignment horizontal="center" vertical="top" textRotation="0" wrapText="true" indent="0" shrinkToFit="false"/>
      <protection locked="true" hidden="false"/>
    </xf>
    <xf numFmtId="168" fontId="11" fillId="7" borderId="3" xfId="0" applyFont="true" applyBorder="true" applyAlignment="true" applyProtection="false">
      <alignment horizontal="general" vertical="top" textRotation="0" wrapText="true" indent="0" shrinkToFit="false"/>
      <protection locked="true" hidden="false"/>
    </xf>
    <xf numFmtId="164" fontId="14" fillId="0" borderId="6" xfId="0" applyFont="true" applyBorder="true" applyAlignment="true" applyProtection="false">
      <alignment horizontal="general" vertical="top" textRotation="0" wrapText="false" indent="0" shrinkToFit="false" readingOrder="1"/>
      <protection locked="true" hidden="false"/>
    </xf>
    <xf numFmtId="168" fontId="0" fillId="21" borderId="2" xfId="0" applyFont="false" applyBorder="true" applyAlignment="true" applyProtection="false">
      <alignment horizontal="general" vertical="bottom" textRotation="0" wrapText="false" indent="0" shrinkToFit="false"/>
      <protection locked="true" hidden="false"/>
    </xf>
    <xf numFmtId="168" fontId="0" fillId="21" borderId="0" xfId="0" applyFont="false" applyBorder="false" applyAlignment="true" applyProtection="false">
      <alignment horizontal="general" vertical="bottom" textRotation="0" wrapText="false" indent="0" shrinkToFit="false"/>
      <protection locked="true" hidden="false"/>
    </xf>
    <xf numFmtId="168" fontId="0" fillId="23" borderId="2" xfId="0" applyFont="false" applyBorder="true" applyAlignment="true" applyProtection="false">
      <alignment horizontal="general" vertical="bottom" textRotation="0" wrapText="false" indent="0" shrinkToFit="false"/>
      <protection locked="true" hidden="false"/>
    </xf>
    <xf numFmtId="168" fontId="0" fillId="0" borderId="6" xfId="0" applyFont="false" applyBorder="true" applyAlignment="true" applyProtection="false">
      <alignment horizontal="general" vertical="bottom" textRotation="0" wrapText="false" indent="0" shrinkToFit="false"/>
      <protection locked="true" hidden="false"/>
    </xf>
    <xf numFmtId="164" fontId="12" fillId="11" borderId="2" xfId="0" applyFont="true" applyBorder="true" applyAlignment="true" applyProtection="false">
      <alignment horizontal="general" vertical="top" textRotation="0" wrapText="true" indent="0" shrinkToFit="false"/>
      <protection locked="true" hidden="false"/>
    </xf>
    <xf numFmtId="170" fontId="0" fillId="0" borderId="2" xfId="0" applyFont="false" applyBorder="true" applyAlignment="true" applyProtection="false">
      <alignment horizontal="general" vertical="bottom" textRotation="0" wrapText="false" indent="0" shrinkToFit="false"/>
      <protection locked="true" hidden="false"/>
    </xf>
    <xf numFmtId="170" fontId="0" fillId="0" borderId="6" xfId="0" applyFont="false" applyBorder="true" applyAlignment="true" applyProtection="false">
      <alignment horizontal="general" vertical="bottom" textRotation="0" wrapText="false" indent="0" shrinkToFit="false"/>
      <protection locked="true" hidden="false"/>
    </xf>
    <xf numFmtId="170" fontId="0" fillId="0" borderId="25" xfId="0" applyFont="false" applyBorder="true" applyAlignment="true" applyProtection="false">
      <alignment horizontal="general" vertical="bottom" textRotation="0" wrapText="false" indent="0" shrinkToFit="false"/>
      <protection locked="true" hidden="false"/>
    </xf>
    <xf numFmtId="170" fontId="4" fillId="0" borderId="18" xfId="0" applyFont="true" applyBorder="true" applyAlignment="true" applyProtection="false">
      <alignment horizontal="general" vertical="bottom" textRotation="0" wrapText="false" indent="0" shrinkToFit="false"/>
      <protection locked="true" hidden="false"/>
    </xf>
    <xf numFmtId="170" fontId="4" fillId="0" borderId="20" xfId="0" applyFont="true" applyBorder="true" applyAlignment="true" applyProtection="false">
      <alignment horizontal="general" vertical="bottom" textRotation="0" wrapText="false" indent="0" shrinkToFit="false"/>
      <protection locked="true" hidden="false"/>
    </xf>
    <xf numFmtId="164" fontId="26" fillId="24" borderId="0" xfId="0" applyFont="true" applyBorder="false" applyAlignment="true" applyProtection="false">
      <alignment horizontal="center" vertical="bottom" textRotation="0" wrapText="false" indent="0" shrinkToFit="false"/>
      <protection locked="true" hidden="false"/>
    </xf>
    <xf numFmtId="164" fontId="26" fillId="3"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4" borderId="0" xfId="0" applyFont="false" applyBorder="false" applyAlignment="true" applyProtection="false">
      <alignment horizontal="general" vertical="bottom" textRotation="0" wrapText="false" indent="0" shrinkToFit="false"/>
      <protection locked="true" hidden="false"/>
    </xf>
    <xf numFmtId="169" fontId="0" fillId="4" borderId="0" xfId="0" applyFont="false" applyBorder="false" applyAlignment="true" applyProtection="false">
      <alignment horizontal="general" vertical="bottom" textRotation="0" wrapText="false" indent="0" shrinkToFit="false"/>
      <protection locked="true" hidden="false"/>
    </xf>
    <xf numFmtId="164" fontId="32" fillId="25"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bottom"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26" borderId="0" xfId="0" applyFont="true" applyBorder="false" applyAlignment="true" applyProtection="false">
      <alignment horizontal="center" vertical="bottom" textRotation="0" wrapText="false" indent="0" shrinkToFit="false"/>
      <protection locked="true" hidden="false"/>
    </xf>
    <xf numFmtId="164" fontId="35" fillId="26" borderId="0" xfId="0" applyFont="true" applyBorder="true" applyAlignment="true" applyProtection="false">
      <alignment horizontal="general" vertical="bottom" textRotation="0" wrapText="false" indent="0" shrinkToFit="false"/>
      <protection locked="true" hidden="false"/>
    </xf>
    <xf numFmtId="165" fontId="36" fillId="27" borderId="0" xfId="0" applyFont="true" applyBorder="false" applyAlignment="true" applyProtection="false">
      <alignment horizontal="center" vertical="bottom" textRotation="0" wrapText="false" indent="0" shrinkToFit="false"/>
      <protection locked="true" hidden="false"/>
    </xf>
    <xf numFmtId="174" fontId="36" fillId="27" borderId="0" xfId="0" applyFont="true" applyBorder="false" applyAlignment="true" applyProtection="false">
      <alignment horizontal="center" vertical="bottom" textRotation="0" wrapText="false" indent="0" shrinkToFit="false"/>
      <protection locked="true" hidden="false"/>
    </xf>
    <xf numFmtId="164" fontId="36" fillId="27" borderId="0" xfId="0" applyFont="true" applyBorder="false" applyAlignment="true" applyProtection="false">
      <alignment horizontal="center" vertical="bottom" textRotation="0" wrapText="false" indent="0" shrinkToFit="false"/>
      <protection locked="true" hidden="false"/>
    </xf>
    <xf numFmtId="164" fontId="34" fillId="27" borderId="0" xfId="0" applyFont="true" applyBorder="true" applyAlignment="true" applyProtection="false">
      <alignment horizontal="general" vertical="bottom" textRotation="0" wrapText="true" indent="0" shrinkToFit="false"/>
      <protection locked="true" hidden="false"/>
    </xf>
    <xf numFmtId="164" fontId="37" fillId="28" borderId="0" xfId="0" applyFont="true" applyBorder="false" applyAlignment="true" applyProtection="false">
      <alignment horizontal="center"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74" fontId="34" fillId="0" borderId="0" xfId="0" applyFont="true" applyBorder="false" applyAlignment="true" applyProtection="false">
      <alignment horizontal="general" vertical="bottom" textRotation="0" wrapText="false" indent="0" shrinkToFit="false"/>
      <protection locked="true" hidden="false"/>
    </xf>
    <xf numFmtId="167" fontId="34" fillId="0" borderId="0" xfId="0" applyFont="true" applyBorder="false" applyAlignment="true" applyProtection="false">
      <alignment horizontal="general" vertical="bottom" textRotation="0" wrapText="tru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5" fillId="26" borderId="0" xfId="0" applyFont="true" applyBorder="false" applyAlignment="true" applyProtection="false">
      <alignment horizontal="center"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27">
    <dxf>
      <fill>
        <patternFill patternType="solid">
          <fgColor rgb="FF002060"/>
          <bgColor rgb="FF000000"/>
        </patternFill>
      </fill>
    </dxf>
    <dxf>
      <fill>
        <patternFill patternType="solid">
          <fgColor rgb="FFFFEB9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3CCEB"/>
          <bgColor rgb="FF000000"/>
        </patternFill>
      </fill>
    </dxf>
    <dxf>
      <fill>
        <patternFill patternType="solid">
          <fgColor rgb="FFC1F0C8"/>
          <bgColor rgb="FF000000"/>
        </patternFill>
      </fill>
    </dxf>
    <dxf>
      <fill>
        <patternFill patternType="solid">
          <fgColor rgb="FFFBE2D5"/>
          <bgColor rgb="FF000000"/>
        </patternFill>
      </fill>
    </dxf>
    <dxf>
      <fill>
        <patternFill patternType="solid">
          <fgColor rgb="FFFFFF00"/>
          <bgColor rgb="FF000000"/>
        </patternFill>
      </fill>
    </dxf>
    <dxf>
      <fill>
        <patternFill patternType="solid">
          <fgColor rgb="FFA6CAEC"/>
          <bgColor rgb="FF000000"/>
        </patternFill>
      </fill>
    </dxf>
    <dxf>
      <fill>
        <patternFill patternType="solid">
          <fgColor rgb="FF4EA72E"/>
          <bgColor rgb="FF000000"/>
        </patternFill>
      </fill>
    </dxf>
    <dxf>
      <fill>
        <patternFill patternType="solid">
          <fgColor rgb="FFD9D9D9"/>
          <bgColor rgb="FF000000"/>
        </patternFill>
      </fill>
    </dxf>
    <dxf>
      <fill>
        <patternFill patternType="solid">
          <fgColor rgb="FFFF0000"/>
          <bgColor rgb="FF000000"/>
        </patternFill>
      </fill>
    </dxf>
    <dxf>
      <fill>
        <patternFill patternType="solid">
          <fgColor rgb="FFF6C6AD"/>
          <bgColor rgb="FF000000"/>
        </patternFill>
      </fill>
    </dxf>
    <dxf>
      <fill>
        <patternFill patternType="solid">
          <fgColor rgb="FFFFC000"/>
          <bgColor rgb="FF000000"/>
        </patternFill>
      </fill>
    </dxf>
    <dxf>
      <fill>
        <patternFill patternType="solid">
          <fgColor rgb="FFA6A6A6"/>
          <bgColor rgb="FF000000"/>
        </patternFill>
      </fill>
    </dxf>
    <dxf>
      <fill>
        <patternFill patternType="solid">
          <fgColor rgb="FF83CBEB"/>
          <bgColor rgb="FF000000"/>
        </patternFill>
      </fill>
    </dxf>
    <dxf>
      <fill>
        <patternFill patternType="solid">
          <fgColor rgb="FFE97132"/>
          <bgColor rgb="FF000000"/>
        </patternFill>
      </fill>
    </dxf>
    <dxf>
      <fill>
        <patternFill patternType="solid">
          <fgColor rgb="FFBFBFBF"/>
          <bgColor rgb="FF000000"/>
        </patternFill>
      </fill>
    </dxf>
    <dxf>
      <font>
        <b val="1"/>
        <color rgb="FF0000FF"/>
      </font>
    </dxf>
    <dxf>
      <font>
        <b val="1"/>
        <color rgb="FFC00000"/>
      </font>
    </dxf>
    <dxf>
      <font>
        <b val="1"/>
        <color rgb="FF666666"/>
      </font>
    </dxf>
    <dxf>
      <font>
        <b val="1"/>
        <color rgb="FF7F7F7F"/>
      </font>
    </dxf>
    <dxf>
      <fill>
        <patternFill patternType="solid">
          <fgColor rgb="FFE59EDD"/>
          <bgColor rgb="FF000000"/>
        </patternFill>
      </fill>
    </dxf>
    <dxf>
      <fill>
        <patternFill patternType="solid">
          <fgColor rgb="FF0000FF"/>
          <bgColor rgb="FF000000"/>
        </patternFill>
      </fill>
    </dxf>
    <dxf>
      <fill>
        <patternFill patternType="solid">
          <fgColor rgb="FF78206E"/>
          <bgColor rgb="FF000000"/>
        </patternFill>
      </fill>
    </dxf>
    <dxf>
      <fill>
        <patternFill patternType="solid">
          <fgColor rgb="FF2F75B5"/>
          <bgColor rgb="FF000000"/>
        </patternFill>
      </fill>
    </dxf>
  </dxfs>
  <colors>
    <indexedColors>
      <rgbColor rgb="FF000000"/>
      <rgbColor rgb="FFFFFFFF"/>
      <rgbColor rgb="FFFF0000"/>
      <rgbColor rgb="FF00FF00"/>
      <rgbColor rgb="FF0000FF"/>
      <rgbColor rgb="FFFFFF00"/>
      <rgbColor rgb="FFFF00FF"/>
      <rgbColor rgb="FF83CBEB"/>
      <rgbColor rgb="FF9C0006"/>
      <rgbColor rgb="FF196B24"/>
      <rgbColor rgb="FF002060"/>
      <rgbColor rgb="FF595959"/>
      <rgbColor rgb="FF800080"/>
      <rgbColor rgb="FF156082"/>
      <rgbColor rgb="FFBFBFBF"/>
      <rgbColor rgb="FF7F7F7F"/>
      <rgbColor rgb="FFA6A6A6"/>
      <rgbColor rgb="FFA02B93"/>
      <rgbColor rgb="FFFBE2D5"/>
      <rgbColor rgb="FFD9EAF7"/>
      <rgbColor rgb="FF660066"/>
      <rgbColor rgb="FFA9D18E"/>
      <rgbColor rgb="FF2F75B5"/>
      <rgbColor rgb="FFD9D9D9"/>
      <rgbColor rgb="FF000080"/>
      <rgbColor rgb="FFFF00FF"/>
      <rgbColor rgb="FFC6E0B4"/>
      <rgbColor rgb="FF00FFFF"/>
      <rgbColor rgb="FF800080"/>
      <rgbColor rgb="FFC00000"/>
      <rgbColor rgb="FF0F9ED5"/>
      <rgbColor rgb="FF0000FF"/>
      <rgbColor rgb="FF00B050"/>
      <rgbColor rgb="FFEAF2F8"/>
      <rgbColor rgb="FFC6EFCE"/>
      <rgbColor rgb="FFFFEB9C"/>
      <rgbColor rgb="FFA6CAEC"/>
      <rgbColor rgb="FFE59EDD"/>
      <rgbColor rgb="FFFFC7CE"/>
      <rgbColor rgb="FFF6C6AD"/>
      <rgbColor rgb="FF4472C4"/>
      <rgbColor rgb="FF83CCEB"/>
      <rgbColor rgb="FF92D050"/>
      <rgbColor rgb="FFFFC000"/>
      <rgbColor rgb="FFC1F0C8"/>
      <rgbColor rgb="FFE97132"/>
      <rgbColor rgb="FF666666"/>
      <rgbColor rgb="FF8B8B8B"/>
      <rgbColor rgb="FF17365D"/>
      <rgbColor rgb="FF4EA72E"/>
      <rgbColor rgb="FF003300"/>
      <rgbColor rgb="FF1F4E78"/>
      <rgbColor rgb="FF993300"/>
      <rgbColor rgb="FF78206E"/>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'Pivot Productivity'!$B$4</c:f>
              <c:strCache>
                <c:ptCount val="1"/>
                <c:pt idx="0">
                  <c:v>Q3 (SP 14 to 19)</c:v>
                </c:pt>
              </c:strCache>
            </c:strRef>
          </c:tx>
          <c:spPr>
            <a:solidFill>
              <a:srgbClr val="156082"/>
            </a:solidFill>
            <a:ln w="0">
              <a:noFill/>
            </a:ln>
          </c:spPr>
          <c:invertIfNegative val="0"/>
          <c:dLbls>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Productivity'!$A$5:$A$34</c:f>
              <c:strCache>
                <c:ptCount val="30"/>
                <c:pt idx="0">
                  <c:v>Account Services</c:v>
                </c:pt>
                <c:pt idx="1">
                  <c:v>Account Services - BRE</c:v>
                </c:pt>
                <c:pt idx="2">
                  <c:v>Account Services - NOW</c:v>
                </c:pt>
                <c:pt idx="3">
                  <c:v>Account Services - XM PDF</c:v>
                </c:pt>
                <c:pt idx="4">
                  <c:v>Assisted Tools</c:v>
                </c:pt>
                <c:pt idx="5">
                  <c:v>CPOS</c:v>
                </c:pt>
                <c:pt idx="6">
                  <c:v>XM Velocity 1/Xceeders</c:v>
                </c:pt>
                <c:pt idx="7">
                  <c:v>XM Velocity 2/Xplorers</c:v>
                </c:pt>
                <c:pt idx="8">
                  <c:v>XM360 CBM/Phoenix</c:v>
                </c:pt>
                <c:pt idx="9">
                  <c:v>XM360 Supersonix</c:v>
                </c:pt>
                <c:pt idx="10">
                  <c:v>Xumo</c:v>
                </c:pt>
                <c:pt idx="11">
                  <c:v>BXT</c:v>
                </c:pt>
                <c:pt idx="12">
                  <c:v>DevOps</c:v>
                </c:pt>
                <c:pt idx="13">
                  <c:v>Field Experience</c:v>
                </c:pt>
                <c:pt idx="14">
                  <c:v>NWT - Core</c:v>
                </c:pt>
                <c:pt idx="15">
                  <c:v>NWT - PSNB</c:v>
                </c:pt>
                <c:pt idx="16">
                  <c:v>NWT - UI</c:v>
                </c:pt>
                <c:pt idx="17">
                  <c:v>NWT-FSM</c:v>
                </c:pt>
                <c:pt idx="18">
                  <c:v>NWT-FSM 2 (NOVA)</c:v>
                </c:pt>
                <c:pt idx="19">
                  <c:v>Platform</c:v>
                </c:pt>
                <c:pt idx="20">
                  <c:v>Celestial (Titan)</c:v>
                </c:pt>
                <c:pt idx="21">
                  <c:v>Celestial (Universal)</c:v>
                </c:pt>
                <c:pt idx="22">
                  <c:v>Flow Engine (optimus)</c:v>
                </c:pt>
                <c:pt idx="23">
                  <c:v>Flow Engine (prometheus)</c:v>
                </c:pt>
                <c:pt idx="24">
                  <c:v>Right Answers</c:v>
                </c:pt>
                <c:pt idx="25">
                  <c:v>XRM</c:v>
                </c:pt>
                <c:pt idx="26">
                  <c:v>XRM - HSD Scrum</c:v>
                </c:pt>
                <c:pt idx="27">
                  <c:v>XRM - Video Scrum</c:v>
                </c:pt>
                <c:pt idx="28">
                  <c:v>XRM - VOIXM Scrum</c:v>
                </c:pt>
                <c:pt idx="29">
                  <c:v>Total Result</c:v>
                </c:pt>
              </c:strCache>
            </c:strRef>
          </c:cat>
          <c:val>
            <c:numRef>
              <c:f>'Pivot Productivity'!$B$5:$B$34</c:f>
              <c:numCache>
                <c:formatCode>0.0</c:formatCode>
                <c:ptCount val="30"/>
                <c:pt idx="0">
                  <c:v>8.77380952380952</c:v>
                </c:pt>
                <c:pt idx="1">
                  <c:v>12.1428571428571</c:v>
                </c:pt>
                <c:pt idx="2">
                  <c:v>5.28571428571429</c:v>
                </c:pt>
                <c:pt idx="3">
                  <c:v>8.89285714285714</c:v>
                </c:pt>
                <c:pt idx="4">
                  <c:v>5.97727457727458</c:v>
                </c:pt>
                <c:pt idx="6">
                  <c:v>4.23076923076923</c:v>
                </c:pt>
                <c:pt idx="7">
                  <c:v>3.8</c:v>
                </c:pt>
                <c:pt idx="8">
                  <c:v>6.07142857142857</c:v>
                </c:pt>
                <c:pt idx="9">
                  <c:v>6.14074074074074</c:v>
                </c:pt>
                <c:pt idx="10">
                  <c:v>9.64343434343434</c:v>
                </c:pt>
                <c:pt idx="11">
                  <c:v>5.92592592592593</c:v>
                </c:pt>
                <c:pt idx="12">
                  <c:v>5.92592592592593</c:v>
                </c:pt>
                <c:pt idx="13">
                  <c:v>7.75823529411765</c:v>
                </c:pt>
                <c:pt idx="14">
                  <c:v>8.55</c:v>
                </c:pt>
                <c:pt idx="15">
                  <c:v>8.41666666666667</c:v>
                </c:pt>
                <c:pt idx="16">
                  <c:v>8.68627450980392</c:v>
                </c:pt>
                <c:pt idx="17">
                  <c:v>5.38</c:v>
                </c:pt>
                <c:pt idx="19">
                  <c:v>7.16037037037037</c:v>
                </c:pt>
                <c:pt idx="20">
                  <c:v>11.4166666666667</c:v>
                </c:pt>
                <c:pt idx="21">
                  <c:v>7.69444444444444</c:v>
                </c:pt>
                <c:pt idx="22">
                  <c:v>4.41666666666667</c:v>
                </c:pt>
                <c:pt idx="23">
                  <c:v>3.02407407407407</c:v>
                </c:pt>
                <c:pt idx="24">
                  <c:v>9.25</c:v>
                </c:pt>
                <c:pt idx="25">
                  <c:v>5.28939393939394</c:v>
                </c:pt>
                <c:pt idx="26">
                  <c:v>5.06666666666667</c:v>
                </c:pt>
                <c:pt idx="27">
                  <c:v>6.59090909090909</c:v>
                </c:pt>
                <c:pt idx="28">
                  <c:v>4.21060606060606</c:v>
                </c:pt>
                <c:pt idx="29">
                  <c:v>6.89698582048722</c:v>
                </c:pt>
              </c:numCache>
            </c:numRef>
          </c:val>
        </c:ser>
        <c:ser>
          <c:idx val="1"/>
          <c:order val="1"/>
          <c:tx>
            <c:strRef>
              <c:f>'Pivot Productivity'!$C$4</c:f>
              <c:strCache>
                <c:ptCount val="1"/>
                <c:pt idx="0">
                  <c:v>Q4 (SP 20 to 26)</c:v>
                </c:pt>
              </c:strCache>
            </c:strRef>
          </c:tx>
          <c:spPr>
            <a:solidFill>
              <a:srgbClr val="e97132"/>
            </a:solidFill>
            <a:ln w="0">
              <a:noFill/>
            </a:ln>
          </c:spPr>
          <c:invertIfNegative val="0"/>
          <c:dLbls>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Productivity'!$A$5:$A$34</c:f>
              <c:strCache>
                <c:ptCount val="30"/>
                <c:pt idx="0">
                  <c:v>Account Services</c:v>
                </c:pt>
                <c:pt idx="1">
                  <c:v>Account Services - BRE</c:v>
                </c:pt>
                <c:pt idx="2">
                  <c:v>Account Services - NOW</c:v>
                </c:pt>
                <c:pt idx="3">
                  <c:v>Account Services - XM PDF</c:v>
                </c:pt>
                <c:pt idx="4">
                  <c:v>Assisted Tools</c:v>
                </c:pt>
                <c:pt idx="5">
                  <c:v>CPOS</c:v>
                </c:pt>
                <c:pt idx="6">
                  <c:v>XM Velocity 1/Xceeders</c:v>
                </c:pt>
                <c:pt idx="7">
                  <c:v>XM Velocity 2/Xplorers</c:v>
                </c:pt>
                <c:pt idx="8">
                  <c:v>XM360 CBM/Phoenix</c:v>
                </c:pt>
                <c:pt idx="9">
                  <c:v>XM360 Supersonix</c:v>
                </c:pt>
                <c:pt idx="10">
                  <c:v>Xumo</c:v>
                </c:pt>
                <c:pt idx="11">
                  <c:v>BXT</c:v>
                </c:pt>
                <c:pt idx="12">
                  <c:v>DevOps</c:v>
                </c:pt>
                <c:pt idx="13">
                  <c:v>Field Experience</c:v>
                </c:pt>
                <c:pt idx="14">
                  <c:v>NWT - Core</c:v>
                </c:pt>
                <c:pt idx="15">
                  <c:v>NWT - PSNB</c:v>
                </c:pt>
                <c:pt idx="16">
                  <c:v>NWT - UI</c:v>
                </c:pt>
                <c:pt idx="17">
                  <c:v>NWT-FSM</c:v>
                </c:pt>
                <c:pt idx="18">
                  <c:v>NWT-FSM 2 (NOVA)</c:v>
                </c:pt>
                <c:pt idx="19">
                  <c:v>Platform</c:v>
                </c:pt>
                <c:pt idx="20">
                  <c:v>Celestial (Titan)</c:v>
                </c:pt>
                <c:pt idx="21">
                  <c:v>Celestial (Universal)</c:v>
                </c:pt>
                <c:pt idx="22">
                  <c:v>Flow Engine (optimus)</c:v>
                </c:pt>
                <c:pt idx="23">
                  <c:v>Flow Engine (prometheus)</c:v>
                </c:pt>
                <c:pt idx="24">
                  <c:v>Right Answers</c:v>
                </c:pt>
                <c:pt idx="25">
                  <c:v>XRM</c:v>
                </c:pt>
                <c:pt idx="26">
                  <c:v>XRM - HSD Scrum</c:v>
                </c:pt>
                <c:pt idx="27">
                  <c:v>XRM - Video Scrum</c:v>
                </c:pt>
                <c:pt idx="28">
                  <c:v>XRM - VOIXM Scrum</c:v>
                </c:pt>
                <c:pt idx="29">
                  <c:v>Total Result</c:v>
                </c:pt>
              </c:strCache>
            </c:strRef>
          </c:cat>
          <c:val>
            <c:numRef>
              <c:f>'Pivot Productivity'!$C$5:$C$34</c:f>
              <c:numCache>
                <c:formatCode>0.0</c:formatCode>
                <c:ptCount val="30"/>
                <c:pt idx="0">
                  <c:v>8.77380952380952</c:v>
                </c:pt>
                <c:pt idx="1">
                  <c:v>12.1428571428571</c:v>
                </c:pt>
                <c:pt idx="2">
                  <c:v>5.28571428571429</c:v>
                </c:pt>
                <c:pt idx="3">
                  <c:v>8.89285714285714</c:v>
                </c:pt>
                <c:pt idx="4">
                  <c:v>6.33766482464754</c:v>
                </c:pt>
                <c:pt idx="5">
                  <c:v>4.94444444444445</c:v>
                </c:pt>
                <c:pt idx="6">
                  <c:v>5.6754945055055</c:v>
                </c:pt>
                <c:pt idx="7">
                  <c:v>4.22285714290476</c:v>
                </c:pt>
                <c:pt idx="8">
                  <c:v>7.39214285714286</c:v>
                </c:pt>
                <c:pt idx="9">
                  <c:v>7.45984120634921</c:v>
                </c:pt>
                <c:pt idx="10">
                  <c:v>8.33120879153846</c:v>
                </c:pt>
                <c:pt idx="11">
                  <c:v>4.82285714285714</c:v>
                </c:pt>
                <c:pt idx="12">
                  <c:v>4.82285714285714</c:v>
                </c:pt>
                <c:pt idx="13">
                  <c:v>7.36378718487395</c:v>
                </c:pt>
                <c:pt idx="14">
                  <c:v>8.11428571428571</c:v>
                </c:pt>
                <c:pt idx="15">
                  <c:v>8.70714285714286</c:v>
                </c:pt>
                <c:pt idx="16">
                  <c:v>7.18066302521009</c:v>
                </c:pt>
                <c:pt idx="17">
                  <c:v>5.45305714285714</c:v>
                </c:pt>
                <c:pt idx="19">
                  <c:v>6.61802721215828</c:v>
                </c:pt>
                <c:pt idx="20">
                  <c:v>10.5142857142857</c:v>
                </c:pt>
                <c:pt idx="21">
                  <c:v>7.98775510206122</c:v>
                </c:pt>
                <c:pt idx="22">
                  <c:v>4.22142857142857</c:v>
                </c:pt>
                <c:pt idx="23">
                  <c:v>4.22380953015873</c:v>
                </c:pt>
                <c:pt idx="24">
                  <c:v>6.14285714285714</c:v>
                </c:pt>
                <c:pt idx="25">
                  <c:v>5.37415584415584</c:v>
                </c:pt>
                <c:pt idx="26">
                  <c:v>4.51857142857143</c:v>
                </c:pt>
                <c:pt idx="27">
                  <c:v>6.1038961038961</c:v>
                </c:pt>
                <c:pt idx="28">
                  <c:v>5.5</c:v>
                </c:pt>
                <c:pt idx="29">
                  <c:v>6.71991031795117</c:v>
                </c:pt>
              </c:numCache>
            </c:numRef>
          </c:val>
        </c:ser>
        <c:ser>
          <c:idx val="2"/>
          <c:order val="2"/>
          <c:tx>
            <c:strRef>
              <c:f>'Pivot Productivity'!$D$4</c:f>
              <c:strCache>
                <c:ptCount val="1"/>
                <c:pt idx="0">
                  <c:v>Q1 (SP 1 to 6)</c:v>
                </c:pt>
              </c:strCache>
            </c:strRef>
          </c:tx>
          <c:spPr>
            <a:solidFill>
              <a:srgbClr val="196b24"/>
            </a:solidFill>
            <a:ln w="0">
              <a:noFill/>
            </a:ln>
          </c:spPr>
          <c:invertIfNegative val="0"/>
          <c:dLbls>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Productivity'!$A$5:$A$34</c:f>
              <c:strCache>
                <c:ptCount val="30"/>
                <c:pt idx="0">
                  <c:v>Account Services</c:v>
                </c:pt>
                <c:pt idx="1">
                  <c:v>Account Services - BRE</c:v>
                </c:pt>
                <c:pt idx="2">
                  <c:v>Account Services - NOW</c:v>
                </c:pt>
                <c:pt idx="3">
                  <c:v>Account Services - XM PDF</c:v>
                </c:pt>
                <c:pt idx="4">
                  <c:v>Assisted Tools</c:v>
                </c:pt>
                <c:pt idx="5">
                  <c:v>CPOS</c:v>
                </c:pt>
                <c:pt idx="6">
                  <c:v>XM Velocity 1/Xceeders</c:v>
                </c:pt>
                <c:pt idx="7">
                  <c:v>XM Velocity 2/Xplorers</c:v>
                </c:pt>
                <c:pt idx="8">
                  <c:v>XM360 CBM/Phoenix</c:v>
                </c:pt>
                <c:pt idx="9">
                  <c:v>XM360 Supersonix</c:v>
                </c:pt>
                <c:pt idx="10">
                  <c:v>Xumo</c:v>
                </c:pt>
                <c:pt idx="11">
                  <c:v>BXT</c:v>
                </c:pt>
                <c:pt idx="12">
                  <c:v>DevOps</c:v>
                </c:pt>
                <c:pt idx="13">
                  <c:v>Field Experience</c:v>
                </c:pt>
                <c:pt idx="14">
                  <c:v>NWT - Core</c:v>
                </c:pt>
                <c:pt idx="15">
                  <c:v>NWT - PSNB</c:v>
                </c:pt>
                <c:pt idx="16">
                  <c:v>NWT - UI</c:v>
                </c:pt>
                <c:pt idx="17">
                  <c:v>NWT-FSM</c:v>
                </c:pt>
                <c:pt idx="18">
                  <c:v>NWT-FSM 2 (NOVA)</c:v>
                </c:pt>
                <c:pt idx="19">
                  <c:v>Platform</c:v>
                </c:pt>
                <c:pt idx="20">
                  <c:v>Celestial (Titan)</c:v>
                </c:pt>
                <c:pt idx="21">
                  <c:v>Celestial (Universal)</c:v>
                </c:pt>
                <c:pt idx="22">
                  <c:v>Flow Engine (optimus)</c:v>
                </c:pt>
                <c:pt idx="23">
                  <c:v>Flow Engine (prometheus)</c:v>
                </c:pt>
                <c:pt idx="24">
                  <c:v>Right Answers</c:v>
                </c:pt>
                <c:pt idx="25">
                  <c:v>XRM</c:v>
                </c:pt>
                <c:pt idx="26">
                  <c:v>XRM - HSD Scrum</c:v>
                </c:pt>
                <c:pt idx="27">
                  <c:v>XRM - Video Scrum</c:v>
                </c:pt>
                <c:pt idx="28">
                  <c:v>XRM - VOIXM Scrum</c:v>
                </c:pt>
                <c:pt idx="29">
                  <c:v>Total Result</c:v>
                </c:pt>
              </c:strCache>
            </c:strRef>
          </c:cat>
          <c:val>
            <c:numRef>
              <c:f>'Pivot Productivity'!$D$5:$D$34</c:f>
              <c:numCache>
                <c:formatCode>0.0</c:formatCode>
                <c:ptCount val="30"/>
                <c:pt idx="0">
                  <c:v>10.3009259259259</c:v>
                </c:pt>
                <c:pt idx="1">
                  <c:v>11.6666666666667</c:v>
                </c:pt>
                <c:pt idx="2">
                  <c:v>7.5</c:v>
                </c:pt>
                <c:pt idx="3">
                  <c:v>11.7361111111111</c:v>
                </c:pt>
                <c:pt idx="4">
                  <c:v>7.24011396011396</c:v>
                </c:pt>
                <c:pt idx="5">
                  <c:v>6.20833333333333</c:v>
                </c:pt>
                <c:pt idx="6">
                  <c:v>7.01679487179487</c:v>
                </c:pt>
                <c:pt idx="7">
                  <c:v>6.17055555555556</c:v>
                </c:pt>
                <c:pt idx="8">
                  <c:v>7.4375</c:v>
                </c:pt>
                <c:pt idx="9">
                  <c:v>7.62583333333333</c:v>
                </c:pt>
                <c:pt idx="10">
                  <c:v>8.98166666666667</c:v>
                </c:pt>
                <c:pt idx="11">
                  <c:v>6.285</c:v>
                </c:pt>
                <c:pt idx="12">
                  <c:v>6.285</c:v>
                </c:pt>
                <c:pt idx="13">
                  <c:v>7.08571428571429</c:v>
                </c:pt>
                <c:pt idx="14">
                  <c:v>8.06</c:v>
                </c:pt>
                <c:pt idx="15">
                  <c:v>7.39166666666667</c:v>
                </c:pt>
                <c:pt idx="16">
                  <c:v>7.76666666666667</c:v>
                </c:pt>
                <c:pt idx="17">
                  <c:v>5.12452380952381</c:v>
                </c:pt>
                <c:pt idx="19">
                  <c:v>6.65493650793651</c:v>
                </c:pt>
                <c:pt idx="20">
                  <c:v>11.8285714285714</c:v>
                </c:pt>
                <c:pt idx="21">
                  <c:v>8.87333333333333</c:v>
                </c:pt>
                <c:pt idx="22">
                  <c:v>4.41666666666667</c:v>
                </c:pt>
                <c:pt idx="23">
                  <c:v>3.90666666666667</c:v>
                </c:pt>
                <c:pt idx="24">
                  <c:v>4.24944444444444</c:v>
                </c:pt>
                <c:pt idx="25">
                  <c:v>5.72488215488216</c:v>
                </c:pt>
                <c:pt idx="26">
                  <c:v>4.89055555555556</c:v>
                </c:pt>
                <c:pt idx="27">
                  <c:v>6.41484848484849</c:v>
                </c:pt>
                <c:pt idx="28">
                  <c:v>5.86924242424243</c:v>
                </c:pt>
                <c:pt idx="29">
                  <c:v>7.24639307662035</c:v>
                </c:pt>
              </c:numCache>
            </c:numRef>
          </c:val>
        </c:ser>
        <c:ser>
          <c:idx val="3"/>
          <c:order val="3"/>
          <c:tx>
            <c:strRef>
              <c:f>'Pivot Productivity'!$E$4</c:f>
              <c:strCache>
                <c:ptCount val="1"/>
                <c:pt idx="0">
                  <c:v>Q2 (SP 7 to 12)</c:v>
                </c:pt>
              </c:strCache>
            </c:strRef>
          </c:tx>
          <c:spPr>
            <a:solidFill>
              <a:srgbClr val="0f9ed5"/>
            </a:solidFill>
            <a:ln w="0">
              <a:noFill/>
            </a:ln>
          </c:spPr>
          <c:invertIfNegative val="0"/>
          <c:dLbls>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Productivity'!$A$5:$A$34</c:f>
              <c:strCache>
                <c:ptCount val="30"/>
                <c:pt idx="0">
                  <c:v>Account Services</c:v>
                </c:pt>
                <c:pt idx="1">
                  <c:v>Account Services - BRE</c:v>
                </c:pt>
                <c:pt idx="2">
                  <c:v>Account Services - NOW</c:v>
                </c:pt>
                <c:pt idx="3">
                  <c:v>Account Services - XM PDF</c:v>
                </c:pt>
                <c:pt idx="4">
                  <c:v>Assisted Tools</c:v>
                </c:pt>
                <c:pt idx="5">
                  <c:v>CPOS</c:v>
                </c:pt>
                <c:pt idx="6">
                  <c:v>XM Velocity 1/Xceeders</c:v>
                </c:pt>
                <c:pt idx="7">
                  <c:v>XM Velocity 2/Xplorers</c:v>
                </c:pt>
                <c:pt idx="8">
                  <c:v>XM360 CBM/Phoenix</c:v>
                </c:pt>
                <c:pt idx="9">
                  <c:v>XM360 Supersonix</c:v>
                </c:pt>
                <c:pt idx="10">
                  <c:v>Xumo</c:v>
                </c:pt>
                <c:pt idx="11">
                  <c:v>BXT</c:v>
                </c:pt>
                <c:pt idx="12">
                  <c:v>DevOps</c:v>
                </c:pt>
                <c:pt idx="13">
                  <c:v>Field Experience</c:v>
                </c:pt>
                <c:pt idx="14">
                  <c:v>NWT - Core</c:v>
                </c:pt>
                <c:pt idx="15">
                  <c:v>NWT - PSNB</c:v>
                </c:pt>
                <c:pt idx="16">
                  <c:v>NWT - UI</c:v>
                </c:pt>
                <c:pt idx="17">
                  <c:v>NWT-FSM</c:v>
                </c:pt>
                <c:pt idx="18">
                  <c:v>NWT-FSM 2 (NOVA)</c:v>
                </c:pt>
                <c:pt idx="19">
                  <c:v>Platform</c:v>
                </c:pt>
                <c:pt idx="20">
                  <c:v>Celestial (Titan)</c:v>
                </c:pt>
                <c:pt idx="21">
                  <c:v>Celestial (Universal)</c:v>
                </c:pt>
                <c:pt idx="22">
                  <c:v>Flow Engine (optimus)</c:v>
                </c:pt>
                <c:pt idx="23">
                  <c:v>Flow Engine (prometheus)</c:v>
                </c:pt>
                <c:pt idx="24">
                  <c:v>Right Answers</c:v>
                </c:pt>
                <c:pt idx="25">
                  <c:v>XRM</c:v>
                </c:pt>
                <c:pt idx="26">
                  <c:v>XRM - HSD Scrum</c:v>
                </c:pt>
                <c:pt idx="27">
                  <c:v>XRM - Video Scrum</c:v>
                </c:pt>
                <c:pt idx="28">
                  <c:v>XRM - VOIXM Scrum</c:v>
                </c:pt>
                <c:pt idx="29">
                  <c:v>Total Result</c:v>
                </c:pt>
              </c:strCache>
            </c:strRef>
          </c:cat>
          <c:val>
            <c:numRef>
              <c:f>'Pivot Productivity'!$E$5:$E$34</c:f>
              <c:numCache>
                <c:formatCode>_(* #,##0.0_);_(* \(#,##0.0\);_(* \-??_);_(@_)</c:formatCode>
                <c:ptCount val="30"/>
                <c:pt idx="0">
                  <c:v>11.2805555555556</c:v>
                </c:pt>
                <c:pt idx="1">
                  <c:v>13.6666666666667</c:v>
                </c:pt>
                <c:pt idx="2">
                  <c:v>10</c:v>
                </c:pt>
                <c:pt idx="3">
                  <c:v>10.175</c:v>
                </c:pt>
                <c:pt idx="4">
                  <c:v>7.37774165648738</c:v>
                </c:pt>
                <c:pt idx="5">
                  <c:v>6.425</c:v>
                </c:pt>
                <c:pt idx="6">
                  <c:v>7.27205128205128</c:v>
                </c:pt>
                <c:pt idx="7">
                  <c:v>6.60856532353968</c:v>
                </c:pt>
                <c:pt idx="8">
                  <c:v>5.81416666666667</c:v>
                </c:pt>
                <c:pt idx="9">
                  <c:v>7.48</c:v>
                </c:pt>
                <c:pt idx="10">
                  <c:v>10.6666666666667</c:v>
                </c:pt>
                <c:pt idx="11">
                  <c:v>6.79555555555556</c:v>
                </c:pt>
                <c:pt idx="12">
                  <c:v>6.79555555555556</c:v>
                </c:pt>
                <c:pt idx="13">
                  <c:v>6.53088888888889</c:v>
                </c:pt>
                <c:pt idx="14">
                  <c:v>4.29666666666667</c:v>
                </c:pt>
                <c:pt idx="15">
                  <c:v>5.875</c:v>
                </c:pt>
                <c:pt idx="16">
                  <c:v>8.42222222222222</c:v>
                </c:pt>
                <c:pt idx="17">
                  <c:v>8.08833333333333</c:v>
                </c:pt>
                <c:pt idx="18">
                  <c:v>5.97222222222222</c:v>
                </c:pt>
                <c:pt idx="19">
                  <c:v>8.27550793649735</c:v>
                </c:pt>
                <c:pt idx="20">
                  <c:v>13.0333333333333</c:v>
                </c:pt>
                <c:pt idx="21">
                  <c:v>9.45142857135714</c:v>
                </c:pt>
                <c:pt idx="22">
                  <c:v>4.29166666666667</c:v>
                </c:pt>
                <c:pt idx="23">
                  <c:v>4.60111111112963</c:v>
                </c:pt>
                <c:pt idx="24">
                  <c:v>10</c:v>
                </c:pt>
                <c:pt idx="25">
                  <c:v>5.97762626264142</c:v>
                </c:pt>
                <c:pt idx="26">
                  <c:v>5.67424242424243</c:v>
                </c:pt>
                <c:pt idx="27">
                  <c:v>6.39196969701515</c:v>
                </c:pt>
                <c:pt idx="28">
                  <c:v>5.86666666666667</c:v>
                </c:pt>
                <c:pt idx="29">
                  <c:v>7.68993630765226</c:v>
                </c:pt>
              </c:numCache>
            </c:numRef>
          </c:val>
        </c:ser>
        <c:ser>
          <c:idx val="4"/>
          <c:order val="4"/>
          <c:tx>
            <c:strRef>
              <c:f>'Pivot Productivity'!$F$4</c:f>
              <c:strCache>
                <c:ptCount val="1"/>
                <c:pt idx="0">
                  <c:v>Q3 (SP 13 to 15)</c:v>
                </c:pt>
              </c:strCache>
            </c:strRef>
          </c:tx>
          <c:spPr>
            <a:solidFill>
              <a:srgbClr val="a02b93"/>
            </a:solidFill>
            <a:ln w="0">
              <a:noFill/>
            </a:ln>
          </c:spPr>
          <c:invertIfNegative val="0"/>
          <c:dLbls>
            <c:txPr>
              <a:bodyPr wrap="square"/>
              <a:lstStyle/>
              <a:p>
                <a:pPr>
                  <a:defRPr b="1"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 Productivity'!$A$5:$A$34</c:f>
              <c:strCache>
                <c:ptCount val="30"/>
                <c:pt idx="0">
                  <c:v>Account Services</c:v>
                </c:pt>
                <c:pt idx="1">
                  <c:v>Account Services - BRE</c:v>
                </c:pt>
                <c:pt idx="2">
                  <c:v>Account Services - NOW</c:v>
                </c:pt>
                <c:pt idx="3">
                  <c:v>Account Services - XM PDF</c:v>
                </c:pt>
                <c:pt idx="4">
                  <c:v>Assisted Tools</c:v>
                </c:pt>
                <c:pt idx="5">
                  <c:v>CPOS</c:v>
                </c:pt>
                <c:pt idx="6">
                  <c:v>XM Velocity 1/Xceeders</c:v>
                </c:pt>
                <c:pt idx="7">
                  <c:v>XM Velocity 2/Xplorers</c:v>
                </c:pt>
                <c:pt idx="8">
                  <c:v>XM360 CBM/Phoenix</c:v>
                </c:pt>
                <c:pt idx="9">
                  <c:v>XM360 Supersonix</c:v>
                </c:pt>
                <c:pt idx="10">
                  <c:v>Xumo</c:v>
                </c:pt>
                <c:pt idx="11">
                  <c:v>BXT</c:v>
                </c:pt>
                <c:pt idx="12">
                  <c:v>DevOps</c:v>
                </c:pt>
                <c:pt idx="13">
                  <c:v>Field Experience</c:v>
                </c:pt>
                <c:pt idx="14">
                  <c:v>NWT - Core</c:v>
                </c:pt>
                <c:pt idx="15">
                  <c:v>NWT - PSNB</c:v>
                </c:pt>
                <c:pt idx="16">
                  <c:v>NWT - UI</c:v>
                </c:pt>
                <c:pt idx="17">
                  <c:v>NWT-FSM</c:v>
                </c:pt>
                <c:pt idx="18">
                  <c:v>NWT-FSM 2 (NOVA)</c:v>
                </c:pt>
                <c:pt idx="19">
                  <c:v>Platform</c:v>
                </c:pt>
                <c:pt idx="20">
                  <c:v>Celestial (Titan)</c:v>
                </c:pt>
                <c:pt idx="21">
                  <c:v>Celestial (Universal)</c:v>
                </c:pt>
                <c:pt idx="22">
                  <c:v>Flow Engine (optimus)</c:v>
                </c:pt>
                <c:pt idx="23">
                  <c:v>Flow Engine (prometheus)</c:v>
                </c:pt>
                <c:pt idx="24">
                  <c:v>Right Answers</c:v>
                </c:pt>
                <c:pt idx="25">
                  <c:v>XRM</c:v>
                </c:pt>
                <c:pt idx="26">
                  <c:v>XRM - HSD Scrum</c:v>
                </c:pt>
                <c:pt idx="27">
                  <c:v>XRM - Video Scrum</c:v>
                </c:pt>
                <c:pt idx="28">
                  <c:v>XRM - VOIXM Scrum</c:v>
                </c:pt>
                <c:pt idx="29">
                  <c:v>Total Result</c:v>
                </c:pt>
              </c:strCache>
            </c:strRef>
          </c:cat>
          <c:val>
            <c:numRef>
              <c:f>'Pivot Productivity'!$F$5:$F$34</c:f>
              <c:numCache>
                <c:formatCode>_(* #,##0.0_);_(* \(#,##0.0\);_(* \-??_);_(@_)</c:formatCode>
                <c:ptCount val="30"/>
                <c:pt idx="0">
                  <c:v>10.3833333333333</c:v>
                </c:pt>
                <c:pt idx="1">
                  <c:v>11.5</c:v>
                </c:pt>
                <c:pt idx="3">
                  <c:v>9.26666666666667</c:v>
                </c:pt>
                <c:pt idx="4">
                  <c:v>7.041</c:v>
                </c:pt>
                <c:pt idx="5">
                  <c:v>5.08333333333333</c:v>
                </c:pt>
                <c:pt idx="6">
                  <c:v>7.85</c:v>
                </c:pt>
                <c:pt idx="8">
                  <c:v>5.295</c:v>
                </c:pt>
                <c:pt idx="9">
                  <c:v>5.37666666666667</c:v>
                </c:pt>
                <c:pt idx="10">
                  <c:v>11.6</c:v>
                </c:pt>
                <c:pt idx="11">
                  <c:v>9.17</c:v>
                </c:pt>
                <c:pt idx="12">
                  <c:v>9.17</c:v>
                </c:pt>
                <c:pt idx="13">
                  <c:v>7.41083333333333</c:v>
                </c:pt>
                <c:pt idx="15">
                  <c:v>5.5</c:v>
                </c:pt>
                <c:pt idx="16">
                  <c:v>8.11</c:v>
                </c:pt>
                <c:pt idx="17">
                  <c:v>9.03333333333333</c:v>
                </c:pt>
                <c:pt idx="18">
                  <c:v>7</c:v>
                </c:pt>
                <c:pt idx="19">
                  <c:v>8.83330158713333</c:v>
                </c:pt>
                <c:pt idx="20">
                  <c:v>14.0666666666667</c:v>
                </c:pt>
                <c:pt idx="21">
                  <c:v>10.19095238</c:v>
                </c:pt>
                <c:pt idx="22">
                  <c:v>4.5</c:v>
                </c:pt>
                <c:pt idx="23">
                  <c:v>5.408888889</c:v>
                </c:pt>
                <c:pt idx="24">
                  <c:v>10</c:v>
                </c:pt>
                <c:pt idx="25">
                  <c:v>5.75343434344444</c:v>
                </c:pt>
                <c:pt idx="26">
                  <c:v>4.63333333333333</c:v>
                </c:pt>
                <c:pt idx="27">
                  <c:v>7.06030303033333</c:v>
                </c:pt>
                <c:pt idx="28">
                  <c:v>5.56666666666667</c:v>
                </c:pt>
                <c:pt idx="29">
                  <c:v>7.8105905483</c:v>
                </c:pt>
              </c:numCache>
            </c:numRef>
          </c:val>
        </c:ser>
        <c:gapWidth val="219"/>
        <c:overlap val="-27"/>
        <c:axId val="80894041"/>
        <c:axId val="45349647"/>
      </c:barChart>
      <c:catAx>
        <c:axId val="8089404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595959"/>
                </a:solidFill>
                <a:latin typeface="Aptos Narrow"/>
              </a:defRPr>
            </a:pPr>
          </a:p>
        </c:txPr>
        <c:crossAx val="45349647"/>
        <c:crosses val="autoZero"/>
        <c:auto val="1"/>
        <c:lblAlgn val="ctr"/>
        <c:lblOffset val="100"/>
        <c:noMultiLvlLbl val="0"/>
      </c:catAx>
      <c:valAx>
        <c:axId val="45349647"/>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12600">
            <a:noFill/>
          </a:ln>
        </c:spPr>
        <c:txPr>
          <a:bodyPr/>
          <a:lstStyle/>
          <a:p>
            <a:pPr>
              <a:defRPr b="1" sz="900" spc="-1" strike="noStrike">
                <a:solidFill>
                  <a:srgbClr val="595959"/>
                </a:solidFill>
                <a:latin typeface="Aptos Narrow"/>
              </a:defRPr>
            </a:pPr>
          </a:p>
        </c:txPr>
        <c:crossAx val="80894041"/>
        <c:crosses val="autoZero"/>
        <c:crossBetween val="between"/>
      </c:valAx>
      <c:spPr>
        <a:noFill/>
        <a:ln w="0">
          <a:noFill/>
        </a:ln>
      </c:spPr>
    </c:plotArea>
    <c:legend>
      <c:legendPos val="b"/>
      <c:overlay val="0"/>
      <c:spPr>
        <a:noFill/>
        <a:ln w="0">
          <a:noFill/>
        </a:ln>
      </c:spPr>
      <c:txPr>
        <a:bodyPr/>
        <a:lstStyle/>
        <a:p>
          <a:pPr>
            <a:defRPr b="1"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'Pivot Velocity'!$B$4</c:f>
              <c:strCache>
                <c:ptCount val="1"/>
                <c:pt idx="0">
                  <c:v>USP / SP in Q4 (SP 20 to 26)</c:v>
                </c:pt>
              </c:strCache>
            </c:strRef>
          </c:tx>
          <c:spPr>
            <a:solidFill>
              <a:srgbClr val="156082"/>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Velocity'!$A$5:$A$11</c:f>
              <c:strCache>
                <c:ptCount val="7"/>
                <c:pt idx="0">
                  <c:v>Account Services</c:v>
                </c:pt>
                <c:pt idx="1">
                  <c:v>Assisted Tools</c:v>
                </c:pt>
                <c:pt idx="2">
                  <c:v>BXT</c:v>
                </c:pt>
                <c:pt idx="3">
                  <c:v>Field Experience</c:v>
                </c:pt>
                <c:pt idx="4">
                  <c:v>Platform</c:v>
                </c:pt>
                <c:pt idx="5">
                  <c:v>XRM</c:v>
                </c:pt>
                <c:pt idx="6">
                  <c:v>Total Result</c:v>
                </c:pt>
              </c:strCache>
            </c:strRef>
          </c:cat>
          <c:val>
            <c:numRef>
              <c:f>'Pivot Velocity'!$B$5:$B$11</c:f>
              <c:numCache>
                <c:formatCode>0.0</c:formatCode>
                <c:ptCount val="7"/>
                <c:pt idx="0">
                  <c:v>71.5714285714286</c:v>
                </c:pt>
                <c:pt idx="1">
                  <c:v>249.809523809524</c:v>
                </c:pt>
                <c:pt idx="2">
                  <c:v>44.7142857142857</c:v>
                </c:pt>
                <c:pt idx="3">
                  <c:v>180.971428571429</c:v>
                </c:pt>
                <c:pt idx="4">
                  <c:v>170.285714285714</c:v>
                </c:pt>
                <c:pt idx="5">
                  <c:v>175.571428571429</c:v>
                </c:pt>
                <c:pt idx="6">
                  <c:v>892.923809523809</c:v>
                </c:pt>
              </c:numCache>
            </c:numRef>
          </c:val>
        </c:ser>
        <c:ser>
          <c:idx val="1"/>
          <c:order val="1"/>
          <c:tx>
            <c:strRef>
              <c:f>'Pivot Velocity'!$C$4</c:f>
              <c:strCache>
                <c:ptCount val="1"/>
                <c:pt idx="0">
                  <c:v>USP / SP in Q1  (SP 1 to 6)</c:v>
                </c:pt>
              </c:strCache>
            </c:strRef>
          </c:tx>
          <c:spPr>
            <a:solidFill>
              <a:srgbClr val="e97132"/>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Velocity'!$A$5:$A$11</c:f>
              <c:strCache>
                <c:ptCount val="7"/>
                <c:pt idx="0">
                  <c:v>Account Services</c:v>
                </c:pt>
                <c:pt idx="1">
                  <c:v>Assisted Tools</c:v>
                </c:pt>
                <c:pt idx="2">
                  <c:v>BXT</c:v>
                </c:pt>
                <c:pt idx="3">
                  <c:v>Field Experience</c:v>
                </c:pt>
                <c:pt idx="4">
                  <c:v>Platform</c:v>
                </c:pt>
                <c:pt idx="5">
                  <c:v>XRM</c:v>
                </c:pt>
                <c:pt idx="6">
                  <c:v>Total Result</c:v>
                </c:pt>
              </c:strCache>
            </c:strRef>
          </c:cat>
          <c:val>
            <c:numRef>
              <c:f>'Pivot Velocity'!$C$5:$C$11</c:f>
              <c:numCache>
                <c:formatCode>0.0</c:formatCode>
                <c:ptCount val="7"/>
                <c:pt idx="0">
                  <c:v>65</c:v>
                </c:pt>
                <c:pt idx="1">
                  <c:v>279</c:v>
                </c:pt>
                <c:pt idx="2">
                  <c:v>57.1666666666667</c:v>
                </c:pt>
                <c:pt idx="3">
                  <c:v>132.416666666667</c:v>
                </c:pt>
                <c:pt idx="4">
                  <c:v>180.666666666667</c:v>
                </c:pt>
                <c:pt idx="5">
                  <c:v>188</c:v>
                </c:pt>
                <c:pt idx="6">
                  <c:v>902.25</c:v>
                </c:pt>
              </c:numCache>
            </c:numRef>
          </c:val>
        </c:ser>
        <c:ser>
          <c:idx val="2"/>
          <c:order val="2"/>
          <c:tx>
            <c:strRef>
              <c:f>'Pivot Velocity'!$D$4</c:f>
              <c:strCache>
                <c:ptCount val="1"/>
                <c:pt idx="0">
                  <c:v>USP / SP in Q2 (SP 7 to 12)</c:v>
                </c:pt>
              </c:strCache>
            </c:strRef>
          </c:tx>
          <c:spPr>
            <a:solidFill>
              <a:srgbClr val="196b24"/>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Velocity'!$A$5:$A$11</c:f>
              <c:strCache>
                <c:ptCount val="7"/>
                <c:pt idx="0">
                  <c:v>Account Services</c:v>
                </c:pt>
                <c:pt idx="1">
                  <c:v>Assisted Tools</c:v>
                </c:pt>
                <c:pt idx="2">
                  <c:v>BXT</c:v>
                </c:pt>
                <c:pt idx="3">
                  <c:v>Field Experience</c:v>
                </c:pt>
                <c:pt idx="4">
                  <c:v>Platform</c:v>
                </c:pt>
                <c:pt idx="5">
                  <c:v>XRM</c:v>
                </c:pt>
                <c:pt idx="6">
                  <c:v>Total Result</c:v>
                </c:pt>
              </c:strCache>
            </c:strRef>
          </c:cat>
          <c:val>
            <c:numRef>
              <c:f>'Pivot Velocity'!$D$5:$D$11</c:f>
              <c:numCache>
                <c:formatCode>_(* #,##0.00_);_(* \(#,##0.00\);_(* \-??_);_(@_)</c:formatCode>
                <c:ptCount val="7"/>
                <c:pt idx="0">
                  <c:v>81.3333333333333</c:v>
                </c:pt>
                <c:pt idx="1">
                  <c:v>271.583333333333</c:v>
                </c:pt>
                <c:pt idx="2">
                  <c:v>61.1666666666667</c:v>
                </c:pt>
                <c:pt idx="3">
                  <c:v>111.583333333333</c:v>
                </c:pt>
                <c:pt idx="4">
                  <c:v>201.333333333333</c:v>
                </c:pt>
                <c:pt idx="5">
                  <c:v>180.016666666667</c:v>
                </c:pt>
                <c:pt idx="6">
                  <c:v>907.016666666667</c:v>
                </c:pt>
              </c:numCache>
            </c:numRef>
          </c:val>
        </c:ser>
        <c:ser>
          <c:idx val="3"/>
          <c:order val="3"/>
          <c:tx>
            <c:strRef>
              <c:f>'Pivot Velocity'!$E$4</c:f>
              <c:strCache>
                <c:ptCount val="1"/>
                <c:pt idx="0">
                  <c:v>USP / SP in Q3 (SP 13 to 15)</c:v>
                </c:pt>
              </c:strCache>
            </c:strRef>
          </c:tx>
          <c:spPr>
            <a:solidFill>
              <a:srgbClr val="0f9ed5"/>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Velocity'!$A$5:$A$11</c:f>
              <c:strCache>
                <c:ptCount val="7"/>
                <c:pt idx="0">
                  <c:v>Account Services</c:v>
                </c:pt>
                <c:pt idx="1">
                  <c:v>Assisted Tools</c:v>
                </c:pt>
                <c:pt idx="2">
                  <c:v>BXT</c:v>
                </c:pt>
                <c:pt idx="3">
                  <c:v>Field Experience</c:v>
                </c:pt>
                <c:pt idx="4">
                  <c:v>Platform</c:v>
                </c:pt>
                <c:pt idx="5">
                  <c:v>XRM</c:v>
                </c:pt>
                <c:pt idx="6">
                  <c:v>Total Result</c:v>
                </c:pt>
              </c:strCache>
            </c:strRef>
          </c:cat>
          <c:val>
            <c:numRef>
              <c:f>'Pivot Velocity'!$E$5:$E$11</c:f>
              <c:numCache>
                <c:formatCode>_(* #,##0.00_);_(* \(#,##0.00\);_(* \-??_);_(@_)</c:formatCode>
                <c:ptCount val="7"/>
                <c:pt idx="0">
                  <c:v>69.3333333333333</c:v>
                </c:pt>
                <c:pt idx="1">
                  <c:v>260.166666666667</c:v>
                </c:pt>
                <c:pt idx="2">
                  <c:v>82.5</c:v>
                </c:pt>
                <c:pt idx="3">
                  <c:v>110.666666666667</c:v>
                </c:pt>
                <c:pt idx="4">
                  <c:v>209.666666666667</c:v>
                </c:pt>
                <c:pt idx="5">
                  <c:v>179.666666666667</c:v>
                </c:pt>
                <c:pt idx="6">
                  <c:v>912</c:v>
                </c:pt>
              </c:numCache>
            </c:numRef>
          </c:val>
        </c:ser>
        <c:gapWidth val="219"/>
        <c:overlap val="-27"/>
        <c:axId val="76414627"/>
        <c:axId val="97010403"/>
      </c:barChart>
      <c:catAx>
        <c:axId val="7641462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595959"/>
                </a:solidFill>
                <a:latin typeface="Aptos Narrow"/>
              </a:defRPr>
            </a:pPr>
          </a:p>
        </c:txPr>
        <c:crossAx val="97010403"/>
        <c:crosses val="autoZero"/>
        <c:auto val="1"/>
        <c:lblAlgn val="ctr"/>
        <c:lblOffset val="100"/>
        <c:noMultiLvlLbl val="0"/>
      </c:catAx>
      <c:valAx>
        <c:axId val="97010403"/>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b="1" sz="900" spc="-1" strike="noStrike">
                <a:solidFill>
                  <a:srgbClr val="595959"/>
                </a:solidFill>
                <a:latin typeface="Aptos Narrow"/>
              </a:defRPr>
            </a:pPr>
          </a:p>
        </c:txPr>
        <c:crossAx val="76414627"/>
        <c:crosses val="autoZero"/>
        <c:crossBetween val="between"/>
      </c:valAx>
      <c:spPr>
        <a:noFill/>
        <a:ln w="0">
          <a:noFill/>
        </a:ln>
      </c:spPr>
    </c:plotArea>
    <c:legend>
      <c:legendPos val="b"/>
      <c:overlay val="0"/>
      <c:spPr>
        <a:noFill/>
        <a:ln w="0">
          <a:noFill/>
        </a:ln>
      </c:spPr>
      <c:txPr>
        <a:bodyPr/>
        <a:lstStyle/>
        <a:p>
          <a:pPr>
            <a:defRPr b="1"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'Pivot Predictability'!$B$4</c:f>
              <c:strCache>
                <c:ptCount val="1"/>
                <c:pt idx="0">
                  <c:v>Q4 (SP 20 to 26)</c:v>
                </c:pt>
              </c:strCache>
            </c:strRef>
          </c:tx>
          <c:spPr>
            <a:solidFill>
              <a:srgbClr val="156082"/>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Predictability'!$A$5:$A$11</c:f>
              <c:strCache>
                <c:ptCount val="7"/>
                <c:pt idx="0">
                  <c:v>Account Services</c:v>
                </c:pt>
                <c:pt idx="1">
                  <c:v>Assisted Tools</c:v>
                </c:pt>
                <c:pt idx="2">
                  <c:v>BXT</c:v>
                </c:pt>
                <c:pt idx="3">
                  <c:v>Field Experience</c:v>
                </c:pt>
                <c:pt idx="4">
                  <c:v>Platform</c:v>
                </c:pt>
                <c:pt idx="5">
                  <c:v>XRM</c:v>
                </c:pt>
                <c:pt idx="6">
                  <c:v>Total Result</c:v>
                </c:pt>
              </c:strCache>
            </c:strRef>
          </c:cat>
          <c:val>
            <c:numRef>
              <c:f>'Pivot Predictability'!$B$5:$B$11</c:f>
              <c:numCache>
                <c:formatCode>0%</c:formatCode>
                <c:ptCount val="7"/>
                <c:pt idx="0">
                  <c:v>1.0575</c:v>
                </c:pt>
                <c:pt idx="1">
                  <c:v>1.24260428845708</c:v>
                </c:pt>
                <c:pt idx="2">
                  <c:v>0.892778904665314</c:v>
                </c:pt>
                <c:pt idx="3">
                  <c:v>1.04957749443834</c:v>
                </c:pt>
                <c:pt idx="4">
                  <c:v>1.19250455753602</c:v>
                </c:pt>
                <c:pt idx="5">
                  <c:v>0.959030500755965</c:v>
                </c:pt>
                <c:pt idx="6">
                  <c:v>1.11911090014805</c:v>
                </c:pt>
              </c:numCache>
            </c:numRef>
          </c:val>
        </c:ser>
        <c:ser>
          <c:idx val="1"/>
          <c:order val="1"/>
          <c:tx>
            <c:strRef>
              <c:f>'Pivot Predictability'!$C$4</c:f>
              <c:strCache>
                <c:ptCount val="1"/>
                <c:pt idx="0">
                  <c:v>Q1 (SP 1 to 6)</c:v>
                </c:pt>
              </c:strCache>
            </c:strRef>
          </c:tx>
          <c:spPr>
            <a:solidFill>
              <a:srgbClr val="e97132"/>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Predictability'!$A$5:$A$11</c:f>
              <c:strCache>
                <c:ptCount val="7"/>
                <c:pt idx="0">
                  <c:v>Account Services</c:v>
                </c:pt>
                <c:pt idx="1">
                  <c:v>Assisted Tools</c:v>
                </c:pt>
                <c:pt idx="2">
                  <c:v>BXT</c:v>
                </c:pt>
                <c:pt idx="3">
                  <c:v>Field Experience</c:v>
                </c:pt>
                <c:pt idx="4">
                  <c:v>Platform</c:v>
                </c:pt>
                <c:pt idx="5">
                  <c:v>XRM</c:v>
                </c:pt>
                <c:pt idx="6">
                  <c:v>Total Result</c:v>
                </c:pt>
              </c:strCache>
            </c:strRef>
          </c:cat>
          <c:val>
            <c:numRef>
              <c:f>'Pivot Predictability'!$C$5:$C$11</c:f>
              <c:numCache>
                <c:formatCode>0%</c:formatCode>
                <c:ptCount val="7"/>
                <c:pt idx="0">
                  <c:v>0.9925</c:v>
                </c:pt>
                <c:pt idx="1">
                  <c:v>1.18018518518519</c:v>
                </c:pt>
                <c:pt idx="2">
                  <c:v>0.978333333333333</c:v>
                </c:pt>
                <c:pt idx="3">
                  <c:v>1.018</c:v>
                </c:pt>
                <c:pt idx="4">
                  <c:v>1.39466666666667</c:v>
                </c:pt>
                <c:pt idx="5">
                  <c:v>1.00166666666667</c:v>
                </c:pt>
                <c:pt idx="6">
                  <c:v>1.14737037037037</c:v>
                </c:pt>
              </c:numCache>
            </c:numRef>
          </c:val>
        </c:ser>
        <c:ser>
          <c:idx val="2"/>
          <c:order val="2"/>
          <c:tx>
            <c:strRef>
              <c:f>'Pivot Predictability'!$D$4</c:f>
              <c:strCache>
                <c:ptCount val="1"/>
                <c:pt idx="0">
                  <c:v>Q2(SP 7 to 12)</c:v>
                </c:pt>
              </c:strCache>
            </c:strRef>
          </c:tx>
          <c:spPr>
            <a:solidFill>
              <a:srgbClr val="196b24"/>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Predictability'!$A$5:$A$11</c:f>
              <c:strCache>
                <c:ptCount val="7"/>
                <c:pt idx="0">
                  <c:v>Account Services</c:v>
                </c:pt>
                <c:pt idx="1">
                  <c:v>Assisted Tools</c:v>
                </c:pt>
                <c:pt idx="2">
                  <c:v>BXT</c:v>
                </c:pt>
                <c:pt idx="3">
                  <c:v>Field Experience</c:v>
                </c:pt>
                <c:pt idx="4">
                  <c:v>Platform</c:v>
                </c:pt>
                <c:pt idx="5">
                  <c:v>XRM</c:v>
                </c:pt>
                <c:pt idx="6">
                  <c:v>Total Result</c:v>
                </c:pt>
              </c:strCache>
            </c:strRef>
          </c:cat>
          <c:val>
            <c:numRef>
              <c:f>'Pivot Predictability'!$D$5:$D$11</c:f>
              <c:numCache>
                <c:formatCode>0%</c:formatCode>
                <c:ptCount val="7"/>
                <c:pt idx="0">
                  <c:v>1.01851851851852</c:v>
                </c:pt>
                <c:pt idx="1">
                  <c:v>1.18612149824298</c:v>
                </c:pt>
                <c:pt idx="2">
                  <c:v>0.950769230769231</c:v>
                </c:pt>
                <c:pt idx="3">
                  <c:v>0.929305828407918</c:v>
                </c:pt>
                <c:pt idx="4">
                  <c:v>1.09527688794696</c:v>
                </c:pt>
                <c:pt idx="5">
                  <c:v>0.973703063198354</c:v>
                </c:pt>
                <c:pt idx="6">
                  <c:v>1.05074245857183</c:v>
                </c:pt>
              </c:numCache>
            </c:numRef>
          </c:val>
        </c:ser>
        <c:ser>
          <c:idx val="3"/>
          <c:order val="3"/>
          <c:tx>
            <c:strRef>
              <c:f>'Pivot Predictability'!$E$4</c:f>
              <c:strCache>
                <c:ptCount val="1"/>
                <c:pt idx="0">
                  <c:v>Q3(SP 13 to 15)</c:v>
                </c:pt>
              </c:strCache>
            </c:strRef>
          </c:tx>
          <c:spPr>
            <a:solidFill>
              <a:srgbClr val="0f9ed5"/>
            </a:solidFill>
            <a:ln w="0">
              <a:noFill/>
            </a:ln>
          </c:spPr>
          <c:invertIfNegative val="0"/>
          <c:dLbls>
            <c:numFmt formatCode="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Predictability'!$A$5:$A$11</c:f>
              <c:strCache>
                <c:ptCount val="7"/>
                <c:pt idx="0">
                  <c:v>Account Services</c:v>
                </c:pt>
                <c:pt idx="1">
                  <c:v>Assisted Tools</c:v>
                </c:pt>
                <c:pt idx="2">
                  <c:v>BXT</c:v>
                </c:pt>
                <c:pt idx="3">
                  <c:v>Field Experience</c:v>
                </c:pt>
                <c:pt idx="4">
                  <c:v>Platform</c:v>
                </c:pt>
                <c:pt idx="5">
                  <c:v>XRM</c:v>
                </c:pt>
                <c:pt idx="6">
                  <c:v>Total Result</c:v>
                </c:pt>
              </c:strCache>
            </c:strRef>
          </c:cat>
          <c:val>
            <c:numRef>
              <c:f>'Pivot Predictability'!$E$5:$E$11</c:f>
              <c:numCache>
                <c:formatCode>0%</c:formatCode>
                <c:ptCount val="7"/>
                <c:pt idx="0">
                  <c:v>0.935</c:v>
                </c:pt>
                <c:pt idx="1">
                  <c:v>1.00555555555556</c:v>
                </c:pt>
                <c:pt idx="2">
                  <c:v>0.965</c:v>
                </c:pt>
                <c:pt idx="3">
                  <c:v>1.36333333333333</c:v>
                </c:pt>
                <c:pt idx="4">
                  <c:v>0.978666666666667</c:v>
                </c:pt>
                <c:pt idx="5">
                  <c:v>0.968888888888889</c:v>
                </c:pt>
                <c:pt idx="6">
                  <c:v>1.0534126984127</c:v>
                </c:pt>
              </c:numCache>
            </c:numRef>
          </c:val>
        </c:ser>
        <c:gapWidth val="219"/>
        <c:overlap val="-27"/>
        <c:axId val="52590841"/>
        <c:axId val="63999590"/>
      </c:barChart>
      <c:catAx>
        <c:axId val="5259084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595959"/>
                </a:solidFill>
                <a:latin typeface="Aptos Narrow"/>
              </a:defRPr>
            </a:pPr>
          </a:p>
        </c:txPr>
        <c:crossAx val="63999590"/>
        <c:crosses val="autoZero"/>
        <c:auto val="1"/>
        <c:lblAlgn val="ctr"/>
        <c:lblOffset val="100"/>
        <c:noMultiLvlLbl val="0"/>
      </c:catAx>
      <c:valAx>
        <c:axId val="63999590"/>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b="1" sz="900" spc="-1" strike="noStrike">
                <a:solidFill>
                  <a:srgbClr val="595959"/>
                </a:solidFill>
                <a:latin typeface="Aptos Narrow"/>
              </a:defRPr>
            </a:pPr>
          </a:p>
        </c:txPr>
        <c:crossAx val="52590841"/>
        <c:crosses val="autoZero"/>
        <c:crossBetween val="between"/>
      </c:valAx>
      <c:spPr>
        <a:noFill/>
        <a:ln w="0">
          <a:noFill/>
        </a:ln>
      </c:spPr>
    </c:plotArea>
    <c:legend>
      <c:legendPos val="b"/>
      <c:overlay val="0"/>
      <c:spPr>
        <a:noFill/>
        <a:ln w="0">
          <a:noFill/>
        </a:ln>
      </c:spPr>
      <c:txPr>
        <a:bodyPr/>
        <a:lstStyle/>
        <a:p>
          <a:pPr>
            <a:defRPr b="1"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'Pivot PRD Defect Density'!$B$3</c:f>
              <c:strCache>
                <c:ptCount val="1"/>
                <c:pt idx="0">
                  <c:v>Average of Avg PRD Defect Density %  Q1 (SP 1 to 6)</c:v>
                </c:pt>
              </c:strCache>
            </c:strRef>
          </c:tx>
          <c:spPr>
            <a:solidFill>
              <a:srgbClr val="156082"/>
            </a:solidFill>
            <a:ln w="0">
              <a:noFill/>
            </a:ln>
          </c:spPr>
          <c:invertIfNegative val="0"/>
          <c:dLbls>
            <c:numFmt formatCode="0.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PRD Defect Density'!$A$4:$A$7</c:f>
              <c:strCache>
                <c:ptCount val="4"/>
                <c:pt idx="0">
                  <c:v>CEUI</c:v>
                </c:pt>
                <c:pt idx="1">
                  <c:v>Field experience </c:v>
                </c:pt>
                <c:pt idx="2">
                  <c:v>Payment &amp; Billing  </c:v>
                </c:pt>
                <c:pt idx="3">
                  <c:v>Total Result</c:v>
                </c:pt>
              </c:strCache>
            </c:strRef>
          </c:cat>
          <c:val>
            <c:numRef>
              <c:f>'Pivot PRD Defect Density'!$B$4:$B$7</c:f>
              <c:numCache>
                <c:formatCode>0%</c:formatCode>
                <c:ptCount val="4"/>
                <c:pt idx="0">
                  <c:v>0.0139871871500522</c:v>
                </c:pt>
                <c:pt idx="1">
                  <c:v>0.00308972073677956</c:v>
                </c:pt>
                <c:pt idx="2">
                  <c:v>0</c:v>
                </c:pt>
                <c:pt idx="3">
                  <c:v>0.00755536098171331</c:v>
                </c:pt>
              </c:numCache>
            </c:numRef>
          </c:val>
        </c:ser>
        <c:ser>
          <c:idx val="1"/>
          <c:order val="1"/>
          <c:tx>
            <c:strRef>
              <c:f>'Pivot PRD Defect Density'!$C$3</c:f>
              <c:strCache>
                <c:ptCount val="1"/>
                <c:pt idx="0">
                  <c:v>Average of Avg PRD Defect Density %  Q2 (SP 7 to 12)</c:v>
                </c:pt>
              </c:strCache>
            </c:strRef>
          </c:tx>
          <c:spPr>
            <a:solidFill>
              <a:srgbClr val="e97132"/>
            </a:solidFill>
            <a:ln w="0">
              <a:noFill/>
            </a:ln>
          </c:spPr>
          <c:invertIfNegative val="0"/>
          <c:dLbls>
            <c:numFmt formatCode="0.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PRD Defect Density'!$A$4:$A$7</c:f>
              <c:strCache>
                <c:ptCount val="4"/>
                <c:pt idx="0">
                  <c:v>CEUI</c:v>
                </c:pt>
                <c:pt idx="1">
                  <c:v>Field experience </c:v>
                </c:pt>
                <c:pt idx="2">
                  <c:v>Payment &amp; Billing  </c:v>
                </c:pt>
                <c:pt idx="3">
                  <c:v>Total Result</c:v>
                </c:pt>
              </c:strCache>
            </c:strRef>
          </c:cat>
          <c:val>
            <c:numRef>
              <c:f>'Pivot PRD Defect Density'!$C$4:$C$7</c:f>
              <c:numCache>
                <c:formatCode>0%</c:formatCode>
                <c:ptCount val="4"/>
                <c:pt idx="0">
                  <c:v>0.0164909407928426</c:v>
                </c:pt>
                <c:pt idx="1">
                  <c:v>0</c:v>
                </c:pt>
                <c:pt idx="2">
                  <c:v>0</c:v>
                </c:pt>
                <c:pt idx="3">
                  <c:v>0.0078869716835334</c:v>
                </c:pt>
              </c:numCache>
            </c:numRef>
          </c:val>
        </c:ser>
        <c:gapWidth val="219"/>
        <c:overlap val="-27"/>
        <c:axId val="18949339"/>
        <c:axId val="44609039"/>
      </c:barChart>
      <c:catAx>
        <c:axId val="1894933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595959"/>
                </a:solidFill>
                <a:latin typeface="Aptos Narrow"/>
              </a:defRPr>
            </a:pPr>
          </a:p>
        </c:txPr>
        <c:crossAx val="44609039"/>
        <c:crosses val="autoZero"/>
        <c:auto val="1"/>
        <c:lblAlgn val="ctr"/>
        <c:lblOffset val="100"/>
        <c:noMultiLvlLbl val="0"/>
      </c:catAx>
      <c:valAx>
        <c:axId val="4460903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12600">
            <a:noFill/>
          </a:ln>
        </c:spPr>
        <c:txPr>
          <a:bodyPr/>
          <a:lstStyle/>
          <a:p>
            <a:pPr>
              <a:defRPr b="1" sz="900" spc="-1" strike="noStrike">
                <a:solidFill>
                  <a:srgbClr val="595959"/>
                </a:solidFill>
                <a:latin typeface="Aptos Narrow"/>
              </a:defRPr>
            </a:pPr>
          </a:p>
        </c:txPr>
        <c:crossAx val="18949339"/>
        <c:crosses val="autoZero"/>
        <c:crossBetween val="between"/>
      </c:valAx>
      <c:spPr>
        <a:noFill/>
        <a:ln w="0">
          <a:noFill/>
        </a:ln>
      </c:spPr>
    </c:plotArea>
    <c:legend>
      <c:legendPos val="b"/>
      <c:overlay val="0"/>
      <c:spPr>
        <a:noFill/>
        <a:ln w="0">
          <a:noFill/>
        </a:ln>
      </c:spPr>
      <c:txPr>
        <a:bodyPr/>
        <a:lstStyle/>
        <a:p>
          <a:pPr>
            <a:defRPr b="1"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'Pivot Defects'!$B$3</c:f>
              <c:strCache>
                <c:ptCount val="1"/>
                <c:pt idx="0">
                  <c:v>Q1 (SP 1 to 6)</c:v>
                </c:pt>
              </c:strCache>
            </c:strRef>
          </c:tx>
          <c:spPr>
            <a:solidFill>
              <a:srgbClr val="156082"/>
            </a:solidFill>
            <a:ln w="0">
              <a:noFill/>
            </a:ln>
          </c:spPr>
          <c:invertIfNegative val="0"/>
          <c:dLbls>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Defects'!$A$4:$A$7</c:f>
              <c:strCache>
                <c:ptCount val="4"/>
                <c:pt idx="0">
                  <c:v>CEUI</c:v>
                </c:pt>
                <c:pt idx="1">
                  <c:v>Field experience </c:v>
                </c:pt>
                <c:pt idx="2">
                  <c:v>Payment &amp; Billing  </c:v>
                </c:pt>
                <c:pt idx="3">
                  <c:v>Total Result</c:v>
                </c:pt>
              </c:strCache>
            </c:strRef>
          </c:cat>
          <c:val>
            <c:numRef>
              <c:f>'Pivot Defects'!$B$4:$B$7</c:f>
              <c:numCache>
                <c:formatCode>_(* #,##0_);_(* \(#,##0\);_(* \-??_);_(@_)</c:formatCode>
                <c:ptCount val="4"/>
                <c:pt idx="0">
                  <c:v>7.39393939393939</c:v>
                </c:pt>
                <c:pt idx="1">
                  <c:v>1.55833333333333</c:v>
                </c:pt>
                <c:pt idx="2">
                  <c:v>0.214285714285714</c:v>
                </c:pt>
                <c:pt idx="3">
                  <c:v>4.04848484848485</c:v>
                </c:pt>
              </c:numCache>
            </c:numRef>
          </c:val>
        </c:ser>
        <c:ser>
          <c:idx val="1"/>
          <c:order val="1"/>
          <c:tx>
            <c:strRef>
              <c:f>'Pivot Defects'!$C$3</c:f>
              <c:strCache>
                <c:ptCount val="1"/>
                <c:pt idx="0">
                  <c:v>Q2 (SP 7 to 12)</c:v>
                </c:pt>
              </c:strCache>
            </c:strRef>
          </c:tx>
          <c:spPr>
            <a:solidFill>
              <a:srgbClr val="e97132"/>
            </a:solidFill>
            <a:ln w="0">
              <a:noFill/>
            </a:ln>
          </c:spPr>
          <c:invertIfNegative val="0"/>
          <c:dLbls>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'Pivot Defects'!$A$4:$A$7</c:f>
              <c:strCache>
                <c:ptCount val="4"/>
                <c:pt idx="0">
                  <c:v>CEUI</c:v>
                </c:pt>
                <c:pt idx="1">
                  <c:v>Field experience </c:v>
                </c:pt>
                <c:pt idx="2">
                  <c:v>Payment &amp; Billing  </c:v>
                </c:pt>
                <c:pt idx="3">
                  <c:v>Total Result</c:v>
                </c:pt>
              </c:strCache>
            </c:strRef>
          </c:cat>
          <c:val>
            <c:numRef>
              <c:f>'Pivot Defects'!$C$4:$C$7</c:f>
              <c:numCache>
                <c:formatCode>_(* #,##0_);_(* \(#,##0\);_(* \-??_);_(@_)</c:formatCode>
                <c:ptCount val="4"/>
                <c:pt idx="0">
                  <c:v>5.67272727272727</c:v>
                </c:pt>
                <c:pt idx="1">
                  <c:v>0.8</c:v>
                </c:pt>
                <c:pt idx="2">
                  <c:v>0</c:v>
                </c:pt>
                <c:pt idx="3">
                  <c:v>2.88695652173913</c:v>
                </c:pt>
              </c:numCache>
            </c:numRef>
          </c:val>
        </c:ser>
        <c:gapWidth val="219"/>
        <c:overlap val="-27"/>
        <c:axId val="63388951"/>
        <c:axId val="55401195"/>
      </c:barChart>
      <c:catAx>
        <c:axId val="6338895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595959"/>
                </a:solidFill>
                <a:latin typeface="Aptos Narrow"/>
              </a:defRPr>
            </a:pPr>
          </a:p>
        </c:txPr>
        <c:crossAx val="55401195"/>
        <c:crosses val="autoZero"/>
        <c:auto val="1"/>
        <c:lblAlgn val="ctr"/>
        <c:lblOffset val="100"/>
        <c:noMultiLvlLbl val="0"/>
      </c:catAx>
      <c:valAx>
        <c:axId val="55401195"/>
        <c:scaling>
          <c:orientation val="minMax"/>
        </c:scaling>
        <c:delete val="0"/>
        <c:axPos val="l"/>
        <c:majorGridlines>
          <c:spPr>
            <a:ln w="9360">
              <a:solidFill>
                <a:srgbClr val="d9d9d9"/>
              </a:solidFill>
              <a:round/>
            </a:ln>
          </c:spPr>
        </c:majorGridlines>
        <c:numFmt formatCode="0.0" sourceLinked="0"/>
        <c:majorTickMark val="none"/>
        <c:minorTickMark val="none"/>
        <c:tickLblPos val="nextTo"/>
        <c:spPr>
          <a:ln w="12600">
            <a:noFill/>
          </a:ln>
        </c:spPr>
        <c:txPr>
          <a:bodyPr/>
          <a:lstStyle/>
          <a:p>
            <a:pPr>
              <a:defRPr b="1" sz="900" spc="-1" strike="noStrike">
                <a:solidFill>
                  <a:srgbClr val="595959"/>
                </a:solidFill>
                <a:latin typeface="Aptos Narrow"/>
              </a:defRPr>
            </a:pPr>
          </a:p>
        </c:txPr>
        <c:crossAx val="63388951"/>
        <c:crosses val="autoZero"/>
        <c:crossBetween val="between"/>
      </c:valAx>
      <c:spPr>
        <a:noFill/>
        <a:ln w="0">
          <a:noFill/>
        </a:ln>
      </c:spPr>
    </c:plotArea>
    <c:legend>
      <c:legendPos val="b"/>
      <c:overlay val="0"/>
      <c:spPr>
        <a:noFill/>
        <a:ln w="0">
          <a:noFill/>
        </a:ln>
      </c:spPr>
      <c:txPr>
        <a:bodyPr/>
        <a:lstStyle/>
        <a:p>
          <a:pPr>
            <a:defRPr b="1"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Aptos Narrow"/>
              </a:defRPr>
            </a:pPr>
            <a:r>
              <a:rPr b="0" lang="en-US" sz="1400" spc="-1" strike="noStrike">
                <a:solidFill>
                  <a:srgbClr val="595959"/>
                </a:solidFill>
                <a:latin typeface="Aptos Narrow"/>
              </a:rPr>
              <a:t>Productivity, Velocity and FTE Trend</a:t>
            </a:r>
          </a:p>
        </c:rich>
      </c:tx>
      <c:overlay val="0"/>
      <c:spPr>
        <a:noFill/>
        <a:ln w="0">
          <a:noFill/>
        </a:ln>
      </c:spPr>
    </c:title>
    <c:autoTitleDeleted val="0"/>
    <c:plotArea>
      <c:barChart>
        <c:barDir val="col"/>
        <c:grouping val="clustered"/>
        <c:varyColors val="0"/>
        <c:ser>
          <c:idx val="0"/>
          <c:order val="0"/>
          <c:tx>
            <c:strRef>
              <c:f>Review4!$C$1</c:f>
              <c:strCache>
                <c:ptCount val="1"/>
                <c:pt idx="0">
                  <c:v>Velocity</c:v>
                </c:pt>
              </c:strCache>
            </c:strRef>
          </c:tx>
          <c:spPr>
            <a:solidFill>
              <a:srgbClr val="4472c4"/>
            </a:solidFill>
            <a:ln w="0">
              <a:solidFill>
                <a:srgbClr val="4472c4"/>
              </a:solidFill>
            </a:ln>
          </c:spPr>
          <c:invertIfNegative val="0"/>
          <c:dLbls>
            <c:numFmt formatCode="#,##0" sourceLinked="1"/>
            <c:txPr>
              <a:bodyPr wrap="square"/>
              <a:lstStyle/>
              <a:p>
                <a:pPr>
                  <a:defRPr b="0"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Review4!$C$2:$C$10</c:f>
              <c:numCache>
                <c:formatCode>#,##0</c:formatCode>
                <c:ptCount val="9"/>
                <c:pt idx="0">
                  <c:v>1748</c:v>
                </c:pt>
                <c:pt idx="1">
                  <c:v>1747</c:v>
                </c:pt>
                <c:pt idx="2">
                  <c:v>2664.8</c:v>
                </c:pt>
                <c:pt idx="3">
                  <c:v>1672</c:v>
                </c:pt>
                <c:pt idx="4">
                  <c:v>1895.5</c:v>
                </c:pt>
                <c:pt idx="5">
                  <c:v>1846</c:v>
                </c:pt>
                <c:pt idx="6">
                  <c:v>1782.1</c:v>
                </c:pt>
                <c:pt idx="7">
                  <c:v>1785</c:v>
                </c:pt>
                <c:pt idx="8">
                  <c:v>868</c:v>
                </c:pt>
              </c:numCache>
            </c:numRef>
          </c:val>
        </c:ser>
        <c:gapWidth val="219"/>
        <c:overlap val="-27"/>
        <c:axId val="37365634"/>
        <c:axId val="90970433"/>
      </c:barChart>
      <c:lineChart>
        <c:grouping val="standard"/>
        <c:varyColors val="0"/>
        <c:ser>
          <c:idx val="1"/>
          <c:order val="1"/>
          <c:tx>
            <c:strRef>
              <c:f>Review4!$D$1</c:f>
              <c:strCache>
                <c:ptCount val="1"/>
                <c:pt idx="0">
                  <c:v>Billable FTE</c:v>
                </c:pt>
              </c:strCache>
            </c:strRef>
          </c:tx>
          <c:spPr>
            <a:solidFill>
              <a:srgbClr val="92d050"/>
            </a:solidFill>
            <a:ln cap="rnd" w="28440">
              <a:solidFill>
                <a:srgbClr val="92d050"/>
              </a:solidFill>
              <a:round/>
            </a:ln>
          </c:spPr>
          <c:marker>
            <c:symbol val="circle"/>
            <c:size val="7"/>
            <c:spPr>
              <a:solidFill>
                <a:srgbClr val="92d050"/>
              </a:solidFill>
            </c:spPr>
          </c:marker>
          <c:dLbls>
            <c:numFmt formatCode="#,##0" sourceLinked="1"/>
            <c:txPr>
              <a:bodyPr wrap="square"/>
              <a:lstStyle/>
              <a:p>
                <a:pPr>
                  <a:defRPr b="0" sz="900" spc="-1" strike="noStrike">
                    <a:solidFill>
                      <a:srgbClr val="404040"/>
                    </a:solidFill>
                    <a:latin typeface="Aptos Narrow"/>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Review4!$D$2:$D$10</c:f>
              <c:numCache>
                <c:formatCode>#,##0</c:formatCode>
                <c:ptCount val="9"/>
                <c:pt idx="0">
                  <c:v>189</c:v>
                </c:pt>
                <c:pt idx="1">
                  <c:v>189</c:v>
                </c:pt>
                <c:pt idx="2">
                  <c:v>189</c:v>
                </c:pt>
                <c:pt idx="3">
                  <c:v>155</c:v>
                </c:pt>
                <c:pt idx="4">
                  <c:v>155</c:v>
                </c:pt>
                <c:pt idx="5">
                  <c:v>155</c:v>
                </c:pt>
                <c:pt idx="6">
                  <c:v>156</c:v>
                </c:pt>
                <c:pt idx="7">
                  <c:v>156</c:v>
                </c:pt>
                <c:pt idx="8">
                  <c:v>156</c:v>
                </c:pt>
              </c:numCache>
            </c:numRef>
          </c:val>
          <c:smooth val="0"/>
        </c:ser>
        <c:ser>
          <c:idx val="2"/>
          <c:order val="2"/>
          <c:tx>
            <c:strRef>
              <c:f>Review4!$E$1</c:f>
              <c:strCache>
                <c:ptCount val="1"/>
                <c:pt idx="0">
                  <c:v>FTE contributing to SP</c:v>
                </c:pt>
              </c:strCache>
            </c:strRef>
          </c:tx>
          <c:spPr>
            <a:solidFill>
              <a:srgbClr val="c6e0b4"/>
            </a:solidFill>
            <a:ln cap="rnd" w="28440">
              <a:solidFill>
                <a:srgbClr val="c6e0b4"/>
              </a:solidFill>
              <a:round/>
            </a:ln>
          </c:spPr>
          <c:marker>
            <c:symbol val="circle"/>
            <c:size val="7"/>
            <c:spPr>
              <a:solidFill>
                <a:srgbClr val="c6e0b4"/>
              </a:solidFill>
            </c:spPr>
          </c:marker>
          <c:dLbls>
            <c:numFmt formatCode="#,##0" sourceLinked="1"/>
            <c:txPr>
              <a:bodyPr wrap="square"/>
              <a:lstStyle/>
              <a:p>
                <a:pPr>
                  <a:defRPr b="0" sz="900" spc="-1" strike="noStrike">
                    <a:solidFill>
                      <a:srgbClr val="404040"/>
                    </a:solidFill>
                    <a:latin typeface="Aptos Narrow"/>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Review4!$E$2:$E$10</c:f>
              <c:numCache>
                <c:formatCode>#,##0</c:formatCode>
                <c:ptCount val="9"/>
                <c:pt idx="0">
                  <c:v>131</c:v>
                </c:pt>
                <c:pt idx="1">
                  <c:v>131</c:v>
                </c:pt>
                <c:pt idx="2">
                  <c:v>131</c:v>
                </c:pt>
                <c:pt idx="3">
                  <c:v>131</c:v>
                </c:pt>
                <c:pt idx="4">
                  <c:v>131</c:v>
                </c:pt>
                <c:pt idx="5">
                  <c:v>115</c:v>
                </c:pt>
                <c:pt idx="6">
                  <c:v>115</c:v>
                </c:pt>
                <c:pt idx="7">
                  <c:v>115</c:v>
                </c:pt>
                <c:pt idx="8">
                  <c:v>115</c:v>
                </c:pt>
              </c:numCache>
            </c:numRef>
          </c:val>
          <c:smooth val="0"/>
        </c:ser>
        <c:hiLowLines>
          <c:spPr>
            <a:ln w="0">
              <a:noFill/>
            </a:ln>
          </c:spPr>
        </c:hiLowLines>
        <c:marker val="1"/>
        <c:axId val="37365634"/>
        <c:axId val="90970433"/>
      </c:lineChart>
      <c:lineChart>
        <c:grouping val="standard"/>
        <c:varyColors val="0"/>
        <c:ser>
          <c:idx val="3"/>
          <c:order val="3"/>
          <c:tx>
            <c:strRef>
              <c:f>Review4!$B$1</c:f>
              <c:strCache>
                <c:ptCount val="1"/>
                <c:pt idx="0">
                  <c:v>Productivity</c:v>
                </c:pt>
              </c:strCache>
            </c:strRef>
          </c:tx>
          <c:spPr>
            <a:solidFill>
              <a:srgbClr val="00b050"/>
            </a:solidFill>
            <a:ln cap="rnd" w="28440">
              <a:solidFill>
                <a:srgbClr val="00b050"/>
              </a:solidFill>
              <a:round/>
            </a:ln>
          </c:spPr>
          <c:marker>
            <c:symbol val="circle"/>
            <c:size val="7"/>
            <c:spPr>
              <a:solidFill>
                <a:srgbClr val="00b050"/>
              </a:solidFill>
            </c:spPr>
          </c:marker>
          <c:dLbls>
            <c:numFmt formatCode="0.0" sourceLinked="1"/>
            <c:txPr>
              <a:bodyPr wrap="square"/>
              <a:lstStyle/>
              <a:p>
                <a:pPr>
                  <a:defRPr b="0" sz="900" spc="-1" strike="noStrike">
                    <a:solidFill>
                      <a:srgbClr val="404040"/>
                    </a:solidFill>
                    <a:latin typeface="Aptos Narrow"/>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Review4!$B$2:$B$10</c:f>
              <c:numCache>
                <c:formatCode>0.0</c:formatCode>
                <c:ptCount val="9"/>
                <c:pt idx="0">
                  <c:v>7.21966902145474</c:v>
                </c:pt>
                <c:pt idx="1">
                  <c:v>7.1145041862899</c:v>
                </c:pt>
                <c:pt idx="2">
                  <c:v>6.8252395712359</c:v>
                </c:pt>
                <c:pt idx="3">
                  <c:v>6.69809523809524</c:v>
                </c:pt>
                <c:pt idx="4">
                  <c:v>7.73952380952381</c:v>
                </c:pt>
                <c:pt idx="5">
                  <c:v>7.25776479334619</c:v>
                </c:pt>
                <c:pt idx="6">
                  <c:v>7.65141058941059</c:v>
                </c:pt>
                <c:pt idx="7">
                  <c:v>7.69672554834884</c:v>
                </c:pt>
                <c:pt idx="8">
                  <c:v>7.47228818800247</c:v>
                </c:pt>
              </c:numCache>
            </c:numRef>
          </c:val>
          <c:smooth val="0"/>
        </c:ser>
        <c:hiLowLines>
          <c:spPr>
            <a:ln w="0">
              <a:noFill/>
            </a:ln>
          </c:spPr>
        </c:hiLowLines>
        <c:marker val="1"/>
        <c:axId val="79108224"/>
        <c:axId val="65673355"/>
      </c:lineChart>
      <c:catAx>
        <c:axId val="37365634"/>
        <c:scaling>
          <c:orientation val="minMax"/>
        </c:scaling>
        <c:delete val="0"/>
        <c:axPos val="b"/>
        <c:title>
          <c:tx>
            <c:rich>
              <a:bodyPr rot="0"/>
              <a:lstStyle/>
              <a:p>
                <a:pPr>
                  <a:defRPr b="0" lang="en-IN" sz="1000" spc="-1" strike="noStrike">
                    <a:solidFill>
                      <a:srgbClr val="595959"/>
                    </a:solidFill>
                    <a:latin typeface="Aptos Narrow"/>
                  </a:defRPr>
                </a:pPr>
                <a:r>
                  <a:rPr b="0" lang="en-IN" sz="1000" spc="-1" strike="noStrike">
                    <a:solidFill>
                      <a:srgbClr val="595959"/>
                    </a:solidFill>
                    <a:latin typeface="Aptos Narrow"/>
                  </a:rPr>
                  <a:t>Month</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90970433"/>
        <c:crosses val="autoZero"/>
        <c:auto val="1"/>
        <c:lblAlgn val="ctr"/>
        <c:lblOffset val="100"/>
        <c:noMultiLvlLbl val="0"/>
      </c:catAx>
      <c:valAx>
        <c:axId val="90970433"/>
        <c:scaling>
          <c:orientation val="minMax"/>
        </c:scaling>
        <c:delete val="0"/>
        <c:axPos val="l"/>
        <c:majorGridlines>
          <c:spPr>
            <a:ln w="9360">
              <a:solidFill>
                <a:srgbClr val="d9d9d9"/>
              </a:solidFill>
              <a:round/>
            </a:ln>
          </c:spPr>
        </c:majorGridlines>
        <c:title>
          <c:tx>
            <c:rich>
              <a:bodyPr rot="-5400000"/>
              <a:lstStyle/>
              <a:p>
                <a:pPr>
                  <a:defRPr b="0" lang="en-IN" sz="1000" spc="-1" strike="noStrike">
                    <a:solidFill>
                      <a:srgbClr val="595959"/>
                    </a:solidFill>
                    <a:latin typeface="Aptos Narrow"/>
                  </a:defRPr>
                </a:pPr>
                <a:r>
                  <a:rPr b="0" lang="en-IN" sz="1000" spc="-1" strike="noStrike">
                    <a:solidFill>
                      <a:srgbClr val="595959"/>
                    </a:solidFill>
                    <a:latin typeface="Aptos Narrow"/>
                  </a:rPr>
                  <a:t>Velocity / FTE</a:t>
                </a:r>
              </a:p>
            </c:rich>
          </c:tx>
          <c:overlay val="0"/>
          <c:spPr>
            <a:noFill/>
            <a:ln w="0">
              <a:noFill/>
            </a:ln>
          </c:spPr>
        </c:title>
        <c:numFmt formatCode="#,##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37365634"/>
        <c:crosses val="autoZero"/>
        <c:crossBetween val="between"/>
      </c:valAx>
      <c:catAx>
        <c:axId val="79108224"/>
        <c:scaling>
          <c:orientation val="minMax"/>
        </c:scaling>
        <c:delete val="1"/>
        <c:axPos val="t"/>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ptos Narrow"/>
              </a:defRPr>
            </a:pPr>
          </a:p>
        </c:txPr>
        <c:crossAx val="65673355"/>
        <c:auto val="1"/>
        <c:lblAlgn val="ctr"/>
        <c:lblOffset val="100"/>
        <c:noMultiLvlLbl val="0"/>
      </c:catAx>
      <c:valAx>
        <c:axId val="65673355"/>
        <c:scaling>
          <c:orientation val="minMax"/>
        </c:scaling>
        <c:delete val="0"/>
        <c:axPos val="r"/>
        <c:numFmt formatCode="0.0" sourceLinked="0"/>
        <c:majorTickMark val="out"/>
        <c:minorTickMark val="none"/>
        <c:tickLblPos val="nextTo"/>
        <c:spPr>
          <a:ln w="12600">
            <a:noFill/>
          </a:ln>
        </c:spPr>
        <c:txPr>
          <a:bodyPr/>
          <a:lstStyle/>
          <a:p>
            <a:pPr>
              <a:defRPr b="0" sz="900" spc="-1" strike="noStrike">
                <a:solidFill>
                  <a:srgbClr val="595959"/>
                </a:solidFill>
                <a:latin typeface="Aptos Narrow"/>
              </a:defRPr>
            </a:pPr>
          </a:p>
        </c:txPr>
        <c:crossAx val="79108224"/>
        <c:crosses val="max"/>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Review5!$B$1</c:f>
              <c:strCache>
                <c:ptCount val="1"/>
                <c:pt idx="0">
                  <c:v>Velocity</c:v>
                </c:pt>
              </c:strCache>
            </c:strRef>
          </c:tx>
          <c:spPr>
            <a:solidFill>
              <a:srgbClr val="4472c4"/>
            </a:solidFill>
            <a:ln w="0">
              <a:solidFill>
                <a:srgbClr val="4472c4"/>
              </a:solid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Review5!$B$2:$B$10</c:f>
              <c:numCache>
                <c:formatCode>#,##0</c:formatCode>
                <c:ptCount val="9"/>
                <c:pt idx="0">
                  <c:v>1748</c:v>
                </c:pt>
                <c:pt idx="1">
                  <c:v>1747</c:v>
                </c:pt>
                <c:pt idx="2">
                  <c:v>2664.8</c:v>
                </c:pt>
                <c:pt idx="3">
                  <c:v>1672</c:v>
                </c:pt>
                <c:pt idx="4">
                  <c:v>1895.5</c:v>
                </c:pt>
                <c:pt idx="5">
                  <c:v>1846</c:v>
                </c:pt>
                <c:pt idx="6">
                  <c:v>1782.1</c:v>
                </c:pt>
                <c:pt idx="7">
                  <c:v>1785</c:v>
                </c:pt>
                <c:pt idx="8">
                  <c:v>868</c:v>
                </c:pt>
              </c:numCache>
            </c:numRef>
          </c:val>
        </c:ser>
        <c:gapWidth val="219"/>
        <c:overlap val="-27"/>
        <c:axId val="72151081"/>
        <c:axId val="41341068"/>
      </c:barChart>
      <c:lineChart>
        <c:grouping val="standard"/>
        <c:varyColors val="0"/>
        <c:ser>
          <c:idx val="1"/>
          <c:order val="1"/>
          <c:tx>
            <c:strRef>
              <c:f>Review5!$C$1</c:f>
              <c:strCache>
                <c:ptCount val="1"/>
                <c:pt idx="0">
                  <c:v>Billable FTE</c:v>
                </c:pt>
              </c:strCache>
            </c:strRef>
          </c:tx>
          <c:spPr>
            <a:solidFill>
              <a:srgbClr val="a9d18e"/>
            </a:solidFill>
            <a:ln cap="rnd" w="28440">
              <a:solidFill>
                <a:srgbClr val="a9d18e"/>
              </a:solidFill>
              <a:round/>
            </a:ln>
          </c:spPr>
          <c:marker>
            <c:symbol val="circle"/>
            <c:size val="6"/>
            <c:spPr>
              <a:solidFill>
                <a:srgbClr val="a9d18e"/>
              </a:solidFill>
            </c:spPr>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Review5!$C$2:$C$10</c:f>
              <c:numCache>
                <c:formatCode>#,##0</c:formatCode>
                <c:ptCount val="9"/>
                <c:pt idx="0">
                  <c:v>189</c:v>
                </c:pt>
                <c:pt idx="1">
                  <c:v>189</c:v>
                </c:pt>
                <c:pt idx="2">
                  <c:v>189</c:v>
                </c:pt>
                <c:pt idx="3">
                  <c:v>155</c:v>
                </c:pt>
                <c:pt idx="4">
                  <c:v>155</c:v>
                </c:pt>
                <c:pt idx="5">
                  <c:v>155</c:v>
                </c:pt>
                <c:pt idx="6">
                  <c:v>156</c:v>
                </c:pt>
                <c:pt idx="7">
                  <c:v>156</c:v>
                </c:pt>
                <c:pt idx="8">
                  <c:v>156</c:v>
                </c:pt>
              </c:numCache>
            </c:numRef>
          </c:val>
          <c:smooth val="0"/>
        </c:ser>
        <c:ser>
          <c:idx val="2"/>
          <c:order val="2"/>
          <c:tx>
            <c:strRef>
              <c:f>Review5!$D$1</c:f>
              <c:strCache>
                <c:ptCount val="1"/>
                <c:pt idx="0">
                  <c:v>FTE contributing to SP</c:v>
                </c:pt>
              </c:strCache>
            </c:strRef>
          </c:tx>
          <c:spPr>
            <a:solidFill>
              <a:srgbClr val="c6e0b4"/>
            </a:solidFill>
            <a:ln cap="rnd" w="28440">
              <a:solidFill>
                <a:srgbClr val="c6e0b4"/>
              </a:solidFill>
              <a:round/>
            </a:ln>
          </c:spPr>
          <c:marker>
            <c:symbol val="circle"/>
            <c:size val="6"/>
            <c:spPr>
              <a:solidFill>
                <a:srgbClr val="c6e0b4"/>
              </a:solidFill>
            </c:spPr>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Review5!$D$2:$D$10</c:f>
              <c:numCache>
                <c:formatCode>#,##0</c:formatCode>
                <c:ptCount val="9"/>
                <c:pt idx="0">
                  <c:v>131</c:v>
                </c:pt>
                <c:pt idx="1">
                  <c:v>131</c:v>
                </c:pt>
                <c:pt idx="2">
                  <c:v>131</c:v>
                </c:pt>
                <c:pt idx="3">
                  <c:v>131</c:v>
                </c:pt>
                <c:pt idx="4">
                  <c:v>131</c:v>
                </c:pt>
                <c:pt idx="5">
                  <c:v>115</c:v>
                </c:pt>
                <c:pt idx="6">
                  <c:v>115</c:v>
                </c:pt>
                <c:pt idx="7">
                  <c:v>115</c:v>
                </c:pt>
                <c:pt idx="8">
                  <c:v>115</c:v>
                </c:pt>
              </c:numCache>
            </c:numRef>
          </c:val>
          <c:smooth val="0"/>
        </c:ser>
        <c:hiLowLines>
          <c:spPr>
            <a:ln w="0">
              <a:noFill/>
            </a:ln>
          </c:spPr>
        </c:hiLowLines>
        <c:marker val="1"/>
        <c:axId val="72151081"/>
        <c:axId val="41341068"/>
      </c:lineChart>
      <c:lineChart>
        <c:grouping val="standard"/>
        <c:varyColors val="0"/>
        <c:ser>
          <c:idx val="3"/>
          <c:order val="3"/>
          <c:tx>
            <c:strRef>
              <c:f>Review5!$E$1</c:f>
              <c:strCache>
                <c:ptCount val="1"/>
                <c:pt idx="0">
                  <c:v>Productivity</c:v>
                </c:pt>
              </c:strCache>
            </c:strRef>
          </c:tx>
          <c:spPr>
            <a:solidFill>
              <a:srgbClr val="00b050"/>
            </a:solidFill>
            <a:ln cap="rnd" w="28440">
              <a:solidFill>
                <a:srgbClr val="00b050"/>
              </a:solidFill>
              <a:round/>
            </a:ln>
          </c:spPr>
          <c:marker>
            <c:symbol val="circle"/>
            <c:size val="7"/>
            <c:spPr>
              <a:solidFill>
                <a:srgbClr val="00b050"/>
              </a:solidFill>
            </c:spPr>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Review5!$E$2:$E$10</c:f>
              <c:numCache>
                <c:formatCode>0.0</c:formatCode>
                <c:ptCount val="9"/>
                <c:pt idx="0">
                  <c:v>6.67175572519084</c:v>
                </c:pt>
                <c:pt idx="1">
                  <c:v>6.66793893129771</c:v>
                </c:pt>
                <c:pt idx="2">
                  <c:v>6.78066157760814</c:v>
                </c:pt>
                <c:pt idx="3">
                  <c:v>6.38167938931298</c:v>
                </c:pt>
                <c:pt idx="4">
                  <c:v>7.23473282442748</c:v>
                </c:pt>
                <c:pt idx="5">
                  <c:v>8.02608695652174</c:v>
                </c:pt>
                <c:pt idx="6">
                  <c:v>7.74826086956522</c:v>
                </c:pt>
                <c:pt idx="7">
                  <c:v>7.76086956521739</c:v>
                </c:pt>
                <c:pt idx="8">
                  <c:v>7.54782608695652</c:v>
                </c:pt>
              </c:numCache>
            </c:numRef>
          </c:val>
          <c:smooth val="0"/>
        </c:ser>
        <c:hiLowLines>
          <c:spPr>
            <a:ln w="0">
              <a:noFill/>
            </a:ln>
          </c:spPr>
        </c:hiLowLines>
        <c:marker val="1"/>
        <c:axId val="18288988"/>
        <c:axId val="36777392"/>
      </c:lineChart>
      <c:catAx>
        <c:axId val="7215108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41341068"/>
        <c:crosses val="autoZero"/>
        <c:auto val="1"/>
        <c:lblAlgn val="ctr"/>
        <c:lblOffset val="100"/>
        <c:noMultiLvlLbl val="0"/>
      </c:catAx>
      <c:valAx>
        <c:axId val="41341068"/>
        <c:scaling>
          <c:orientation val="minMax"/>
        </c:scaling>
        <c:delete val="0"/>
        <c:axPos val="l"/>
        <c:numFmt formatCode="#,##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72151081"/>
        <c:crosses val="autoZero"/>
        <c:crossBetween val="between"/>
      </c:valAx>
      <c:catAx>
        <c:axId val="18288988"/>
        <c:scaling>
          <c:orientation val="minMax"/>
        </c:scaling>
        <c:delete val="1"/>
        <c:axPos val="t"/>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ptos Narrow"/>
              </a:defRPr>
            </a:pPr>
          </a:p>
        </c:txPr>
        <c:crossAx val="36777392"/>
        <c:auto val="1"/>
        <c:lblAlgn val="ctr"/>
        <c:lblOffset val="100"/>
        <c:noMultiLvlLbl val="0"/>
      </c:catAx>
      <c:valAx>
        <c:axId val="36777392"/>
        <c:scaling>
          <c:orientation val="minMax"/>
        </c:scaling>
        <c:delete val="0"/>
        <c:axPos val="r"/>
        <c:numFmt formatCode="0.0" sourceLinked="0"/>
        <c:majorTickMark val="out"/>
        <c:minorTickMark val="none"/>
        <c:tickLblPos val="nextTo"/>
        <c:spPr>
          <a:ln w="12600">
            <a:noFill/>
          </a:ln>
        </c:spPr>
        <c:txPr>
          <a:bodyPr/>
          <a:lstStyle/>
          <a:p>
            <a:pPr>
              <a:defRPr b="0" sz="900" spc="-1" strike="noStrike">
                <a:solidFill>
                  <a:srgbClr val="595959"/>
                </a:solidFill>
                <a:latin typeface="Aptos Narrow"/>
              </a:defRPr>
            </a:pPr>
          </a:p>
        </c:txPr>
        <c:crossAx val="18288988"/>
        <c:crosses val="max"/>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Aptos Narrow"/>
              </a:defRPr>
            </a:pPr>
            <a:r>
              <a:rPr b="0" lang="en-US" sz="1400" spc="-1" strike="noStrike">
                <a:solidFill>
                  <a:srgbClr val="595959"/>
                </a:solidFill>
                <a:latin typeface="Aptos Narrow"/>
              </a:rPr>
              <a:t>Portfolio Productivity: Q1, Q2 and Q3TD</a:t>
            </a:r>
          </a:p>
        </c:rich>
      </c:tx>
      <c:overlay val="0"/>
      <c:spPr>
        <a:noFill/>
        <a:ln w="0">
          <a:noFill/>
        </a:ln>
      </c:spPr>
    </c:title>
    <c:autoTitleDeleted val="0"/>
    <c:plotArea>
      <c:lineChart>
        <c:grouping val="standard"/>
        <c:varyColors val="0"/>
        <c:ser>
          <c:idx val="0"/>
          <c:order val="0"/>
          <c:tx>
            <c:strRef>
              <c:f>'Productivity Insights'!$C$9</c:f>
              <c:strCache>
                <c:ptCount val="1"/>
                <c:pt idx="0">
                  <c:v>Portfolio productivity</c:v>
                </c:pt>
              </c:strCache>
            </c:strRef>
          </c:tx>
          <c:spPr>
            <a:solidFill>
              <a:srgbClr val="156082"/>
            </a:solidFill>
            <a:ln cap="rnd" w="28440">
              <a:solidFill>
                <a:srgbClr val="156082"/>
              </a:solidFill>
              <a:round/>
            </a:ln>
          </c:spPr>
          <c:marker>
            <c:symbol val="circle"/>
            <c:size val="5"/>
            <c:spPr>
              <a:solidFill>
                <a:srgbClr val="156082"/>
              </a:solidFill>
            </c:spPr>
          </c:marker>
          <c:dLbls>
            <c:numFmt formatCode="0.0" sourceLinked="1"/>
            <c:txPr>
              <a:bodyPr wrap="square"/>
              <a:lstStyle/>
              <a:p>
                <a:pPr>
                  <a:defRPr b="0" sz="900" spc="-1" strike="noStrike">
                    <a:solidFill>
                      <a:srgbClr val="404040"/>
                    </a:solidFill>
                    <a:latin typeface="Aptos Narrow"/>
                  </a:defRPr>
                </a:pPr>
              </a:p>
            </c:txPr>
            <c:dLblPos val="r"/>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'Productivity Insights'!$A$10:$A$12</c:f>
              <c:strCache>
                <c:ptCount val="3"/>
                <c:pt idx="0">
                  <c:v>Q1</c:v>
                </c:pt>
                <c:pt idx="1">
                  <c:v>Q2</c:v>
                </c:pt>
                <c:pt idx="2">
                  <c:v>Q3TD*</c:v>
                </c:pt>
              </c:strCache>
            </c:strRef>
          </c:cat>
          <c:val>
            <c:numRef>
              <c:f>'Productivity Insights'!$C$10:$C$12</c:f>
              <c:numCache>
                <c:formatCode>0.0</c:formatCode>
                <c:ptCount val="3"/>
                <c:pt idx="0">
                  <c:v>7.24639307662035</c:v>
                </c:pt>
                <c:pt idx="1">
                  <c:v>7.68993630765226</c:v>
                </c:pt>
                <c:pt idx="2">
                  <c:v>7.8105905483</c:v>
                </c:pt>
              </c:numCache>
            </c:numRef>
          </c:val>
          <c:smooth val="0"/>
        </c:ser>
        <c:hiLowLines>
          <c:spPr>
            <a:ln w="0">
              <a:noFill/>
            </a:ln>
          </c:spPr>
        </c:hiLowLines>
        <c:marker val="1"/>
        <c:axId val="64184383"/>
        <c:axId val="58463490"/>
      </c:lineChart>
      <c:catAx>
        <c:axId val="64184383"/>
        <c:scaling>
          <c:orientation val="minMax"/>
        </c:scaling>
        <c:delete val="0"/>
        <c:axPos val="b"/>
        <c:title>
          <c:tx>
            <c:rich>
              <a:bodyPr rot="0"/>
              <a:lstStyle/>
              <a:p>
                <a:pPr>
                  <a:defRPr b="0" lang="en-IN" sz="1000" spc="-1" strike="noStrike">
                    <a:solidFill>
                      <a:srgbClr val="595959"/>
                    </a:solidFill>
                    <a:latin typeface="Aptos Narrow"/>
                  </a:defRPr>
                </a:pPr>
                <a:r>
                  <a:rPr b="0" lang="en-IN" sz="1000" spc="-1" strike="noStrike">
                    <a:solidFill>
                      <a:srgbClr val="595959"/>
                    </a:solidFill>
                    <a:latin typeface="Aptos Narrow"/>
                  </a:rPr>
                  <a:t>Period</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58463490"/>
        <c:crosses val="autoZero"/>
        <c:auto val="1"/>
        <c:lblAlgn val="ctr"/>
        <c:lblOffset val="100"/>
        <c:noMultiLvlLbl val="0"/>
      </c:catAx>
      <c:valAx>
        <c:axId val="58463490"/>
        <c:scaling>
          <c:orientation val="minMax"/>
        </c:scaling>
        <c:delete val="0"/>
        <c:axPos val="l"/>
        <c:majorGridlines>
          <c:spPr>
            <a:ln w="9360">
              <a:solidFill>
                <a:srgbClr val="d9d9d9"/>
              </a:solidFill>
              <a:round/>
            </a:ln>
          </c:spPr>
        </c:majorGridlines>
        <c:title>
          <c:tx>
            <c:rich>
              <a:bodyPr rot="-5400000"/>
              <a:lstStyle/>
              <a:p>
                <a:pPr>
                  <a:defRPr b="0" lang="en-IN" sz="1000" spc="-1" strike="noStrike">
                    <a:solidFill>
                      <a:srgbClr val="595959"/>
                    </a:solidFill>
                    <a:latin typeface="Aptos Narrow"/>
                  </a:defRPr>
                </a:pPr>
                <a:r>
                  <a:rPr b="0" lang="en-IN" sz="1000" spc="-1" strike="noStrike">
                    <a:solidFill>
                      <a:srgbClr val="595959"/>
                    </a:solidFill>
                    <a:latin typeface="Aptos Narrow"/>
                  </a:rPr>
                  <a:t>Productivity</a:t>
                </a:r>
              </a:p>
            </c:rich>
          </c:tx>
          <c:overlay val="0"/>
          <c:spPr>
            <a:noFill/>
            <a:ln w="0">
              <a:noFill/>
            </a:ln>
          </c:spPr>
        </c:title>
        <c:numFmt formatCode="0.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6418438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Aptos Narrow"/>
              </a:defRPr>
            </a:pPr>
            <a:r>
              <a:rPr b="0" lang="en-US" sz="1400" spc="-1" strike="noStrike">
                <a:solidFill>
                  <a:srgbClr val="595959"/>
                </a:solidFill>
                <a:latin typeface="Aptos Narrow"/>
              </a:rPr>
              <a:t>Applications by Three-Period Pattern</a:t>
            </a:r>
          </a:p>
        </c:rich>
      </c:tx>
      <c:overlay val="0"/>
      <c:spPr>
        <a:noFill/>
        <a:ln w="0">
          <a:noFill/>
        </a:ln>
      </c:spPr>
    </c:title>
    <c:autoTitleDeleted val="0"/>
    <c:plotArea>
      <c:barChart>
        <c:barDir val="bar"/>
        <c:grouping val="clustered"/>
        <c:varyColors val="0"/>
        <c:ser>
          <c:idx val="0"/>
          <c:order val="0"/>
          <c:tx>
            <c:strRef>
              <c:f>'Productivity Insights'!$H$9</c:f>
              <c:strCache>
                <c:ptCount val="1"/>
                <c:pt idx="0">
                  <c:v>Count</c:v>
                </c:pt>
              </c:strCache>
            </c:strRef>
          </c:tx>
          <c:spPr>
            <a:solidFill>
              <a:srgbClr val="156082"/>
            </a:solidFill>
            <a:ln w="0">
              <a:noFill/>
            </a:ln>
          </c:spPr>
          <c:invertIfNegative val="0"/>
          <c:dLbls>
            <c:numFmt formatCode="0" sourceLinked="1"/>
            <c:txPr>
              <a:bodyPr wrap="square"/>
              <a:lstStyle/>
              <a:p>
                <a:pPr>
                  <a:defRPr b="0" sz="900" spc="-1" strike="noStrike">
                    <a:solidFill>
                      <a:srgbClr val="404040"/>
                    </a:solidFill>
                    <a:latin typeface="Aptos Narrow"/>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'Productivity Insights'!$G$10:$G$14</c:f>
              <c:strCache>
                <c:ptCount val="5"/>
                <c:pt idx="0">
                  <c:v>Sustained increase</c:v>
                </c:pt>
                <c:pt idx="1">
                  <c:v>Sustained decline</c:v>
                </c:pt>
                <c:pt idx="2">
                  <c:v>Q3TD recovery</c:v>
                </c:pt>
                <c:pt idx="3">
                  <c:v>Q3TD reversal</c:v>
                </c:pt>
                <c:pt idx="4">
                  <c:v>Stable / mixed</c:v>
                </c:pt>
              </c:strCache>
            </c:strRef>
          </c:cat>
          <c:val>
            <c:numRef>
              <c:f>'Productivity Insights'!$H$10:$H$14</c:f>
              <c:numCache>
                <c:formatCode>General</c:formatCode>
                <c:ptCount val="5"/>
                <c:pt idx="0">
                  <c:v>9</c:v>
                </c:pt>
                <c:pt idx="1">
                  <c:v>5</c:v>
                </c:pt>
                <c:pt idx="2">
                  <c:v>3</c:v>
                </c:pt>
                <c:pt idx="3">
                  <c:v>7</c:v>
                </c:pt>
                <c:pt idx="4">
                  <c:v>1</c:v>
                </c:pt>
              </c:numCache>
            </c:numRef>
          </c:val>
        </c:ser>
        <c:gapWidth val="182"/>
        <c:overlap val="0"/>
        <c:axId val="52542094"/>
        <c:axId val="88883517"/>
      </c:barChart>
      <c:catAx>
        <c:axId val="52542094"/>
        <c:scaling>
          <c:orientation val="minMax"/>
        </c:scaling>
        <c:delete val="0"/>
        <c:axPos val="b"/>
        <c:title>
          <c:tx>
            <c:rich>
              <a:bodyPr rot="-5400000"/>
              <a:lstStyle/>
              <a:p>
                <a:pPr>
                  <a:defRPr b="0" lang="en-IN" sz="1000" spc="-1" strike="noStrike">
                    <a:solidFill>
                      <a:srgbClr val="595959"/>
                    </a:solidFill>
                    <a:latin typeface="Aptos Narrow"/>
                  </a:defRPr>
                </a:pPr>
                <a:r>
                  <a:rPr b="0" lang="en-IN" sz="1000" spc="-1" strike="noStrike">
                    <a:solidFill>
                      <a:srgbClr val="595959"/>
                    </a:solidFill>
                    <a:latin typeface="Aptos Narrow"/>
                  </a:rPr>
                  <a:t>Pattern</a:t>
                </a:r>
              </a:p>
            </c:rich>
          </c:tx>
          <c:overlay val="0"/>
          <c:spPr>
            <a:noFill/>
            <a:ln w="0">
              <a:noFill/>
            </a:ln>
          </c:spPr>
        </c:title>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88883517"/>
        <c:crosses val="autoZero"/>
        <c:auto val="1"/>
        <c:lblAlgn val="ctr"/>
        <c:lblOffset val="100"/>
        <c:noMultiLvlLbl val="0"/>
      </c:catAx>
      <c:valAx>
        <c:axId val="88883517"/>
        <c:scaling>
          <c:orientation val="minMax"/>
        </c:scaling>
        <c:delete val="0"/>
        <c:axPos val="l"/>
        <c:majorGridlines>
          <c:spPr>
            <a:ln w="9360">
              <a:solidFill>
                <a:srgbClr val="d9d9d9"/>
              </a:solidFill>
              <a:round/>
            </a:ln>
          </c:spPr>
        </c:majorGridlines>
        <c:title>
          <c:tx>
            <c:rich>
              <a:bodyPr rot="0"/>
              <a:lstStyle/>
              <a:p>
                <a:pPr>
                  <a:defRPr b="0" lang="en-IN" sz="1000" spc="-1" strike="noStrike">
                    <a:solidFill>
                      <a:srgbClr val="595959"/>
                    </a:solidFill>
                    <a:latin typeface="Aptos Narrow"/>
                  </a:defRPr>
                </a:pPr>
                <a:r>
                  <a:rPr b="0" lang="en-IN" sz="1000" spc="-1" strike="noStrike">
                    <a:solidFill>
                      <a:srgbClr val="595959"/>
                    </a:solidFill>
                    <a:latin typeface="Aptos Narrow"/>
                  </a:rPr>
                  <a:t>Applications</a:t>
                </a:r>
              </a:p>
            </c:rich>
          </c:tx>
          <c:overlay val="0"/>
          <c:spPr>
            <a:noFill/>
            <a:ln w="0">
              <a:noFill/>
            </a:ln>
          </c:spPr>
        </c:title>
        <c:numFmt formatCode="General"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5254209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4.xml.rels><?xml version="1.0" encoding="UTF-8"?>
<Relationships xmlns="http://schemas.openxmlformats.org/package/2006/relationships"><Relationship Id="rId1" Type="http://schemas.openxmlformats.org/officeDocument/2006/relationships/chart" Target="../charts/chart2.xml"/>
</Relationships>
</file>

<file path=xl/drawings/_rels/drawing6.xml.rels><?xml version="1.0" encoding="UTF-8"?>
<Relationships xmlns="http://schemas.openxmlformats.org/package/2006/relationships"><Relationship Id="rId1" Type="http://schemas.openxmlformats.org/officeDocument/2006/relationships/chart" Target="../charts/chart3.xml"/>
</Relationships>
</file>

<file path=xl/drawings/_rels/drawing8.xml.rels><?xml version="1.0" encoding="UTF-8"?>
<Relationships xmlns="http://schemas.openxmlformats.org/package/2006/relationships"><Relationship Id="rId1" Type="http://schemas.openxmlformats.org/officeDocument/2006/relationships/chart" Target="../charts/chart4.xml"/>
</Relationships>
</file>

<file path=xl/drawings/_rels/drawing10.xml.rels><?xml version="1.0" encoding="UTF-8"?>
<Relationships xmlns="http://schemas.openxmlformats.org/package/2006/relationships"><Relationship Id="rId1" Type="http://schemas.openxmlformats.org/officeDocument/2006/relationships/chart" Target="../charts/chart5.xml"/>
</Relationships>
</file>

<file path=xl/drawings/_rels/drawing11.xml.rels><?xml version="1.0" encoding="UTF-8"?>
<Relationships xmlns="http://schemas.openxmlformats.org/package/2006/relationships"><Relationship Id="rId1" Type="http://schemas.openxmlformats.org/officeDocument/2006/relationships/chart" Target="../charts/chart6.xml"/>
</Relationships>
</file>

<file path=xl/drawings/_rels/drawing12.xml.rels><?xml version="1.0" encoding="UTF-8"?>
<Relationships xmlns="http://schemas.openxmlformats.org/package/2006/relationships"><Relationship Id="rId1" Type="http://schemas.openxmlformats.org/officeDocument/2006/relationships/chart" Target="../charts/chart7.xml"/>
</Relationships>
</file>

<file path=xl/drawings/_rels/drawing13.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588960</xdr:colOff>
      <xdr:row>17</xdr:row>
      <xdr:rowOff>39600</xdr:rowOff>
    </xdr:from>
    <xdr:to>
      <xdr:col>18</xdr:col>
      <xdr:colOff>491400</xdr:colOff>
      <xdr:row>42</xdr:row>
      <xdr:rowOff>103680</xdr:rowOff>
    </xdr:to>
    <xdr:graphicFrame>
      <xdr:nvGraphicFramePr>
        <xdr:cNvPr id="0" name="Chart 1"/>
        <xdr:cNvGraphicFramePr/>
      </xdr:nvGraphicFramePr>
      <xdr:xfrm>
        <a:off x="9573120" y="3116160"/>
        <a:ext cx="8597160" cy="458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57240</xdr:colOff>
      <xdr:row>10</xdr:row>
      <xdr:rowOff>9360</xdr:rowOff>
    </xdr:from>
    <xdr:to>
      <xdr:col>21</xdr:col>
      <xdr:colOff>47160</xdr:colOff>
      <xdr:row>32</xdr:row>
      <xdr:rowOff>132480</xdr:rowOff>
    </xdr:to>
    <xdr:graphicFrame>
      <xdr:nvGraphicFramePr>
        <xdr:cNvPr id="1" name="Chart 1"/>
        <xdr:cNvGraphicFramePr/>
      </xdr:nvGraphicFramePr>
      <xdr:xfrm>
        <a:off x="12744720" y="1819080"/>
        <a:ext cx="10613160" cy="4104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582120</xdr:colOff>
      <xdr:row>2</xdr:row>
      <xdr:rowOff>74880</xdr:rowOff>
    </xdr:from>
    <xdr:to>
      <xdr:col>18</xdr:col>
      <xdr:colOff>315360</xdr:colOff>
      <xdr:row>22</xdr:row>
      <xdr:rowOff>153000</xdr:rowOff>
    </xdr:to>
    <xdr:graphicFrame>
      <xdr:nvGraphicFramePr>
        <xdr:cNvPr id="2" name="Chart 1"/>
        <xdr:cNvGraphicFramePr/>
      </xdr:nvGraphicFramePr>
      <xdr:xfrm>
        <a:off x="12953880" y="436680"/>
        <a:ext cx="8839080" cy="3697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31680</xdr:colOff>
      <xdr:row>1</xdr:row>
      <xdr:rowOff>111240</xdr:rowOff>
    </xdr:from>
    <xdr:to>
      <xdr:col>15</xdr:col>
      <xdr:colOff>48600</xdr:colOff>
      <xdr:row>25</xdr:row>
      <xdr:rowOff>42480</xdr:rowOff>
    </xdr:to>
    <xdr:graphicFrame>
      <xdr:nvGraphicFramePr>
        <xdr:cNvPr id="3" name="Chart 1"/>
        <xdr:cNvGraphicFramePr/>
      </xdr:nvGraphicFramePr>
      <xdr:xfrm>
        <a:off x="11700360" y="292320"/>
        <a:ext cx="6846480" cy="4274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12600</xdr:colOff>
      <xdr:row>1</xdr:row>
      <xdr:rowOff>54000</xdr:rowOff>
    </xdr:from>
    <xdr:to>
      <xdr:col>16</xdr:col>
      <xdr:colOff>315360</xdr:colOff>
      <xdr:row>16</xdr:row>
      <xdr:rowOff>32760</xdr:rowOff>
    </xdr:to>
    <xdr:graphicFrame>
      <xdr:nvGraphicFramePr>
        <xdr:cNvPr id="4" name="Chart 1"/>
        <xdr:cNvGraphicFramePr/>
      </xdr:nvGraphicFramePr>
      <xdr:xfrm>
        <a:off x="8313840" y="235080"/>
        <a:ext cx="5614560" cy="269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xdr:row>
      <xdr:rowOff>0</xdr:rowOff>
    </xdr:from>
    <xdr:to>
      <xdr:col>17</xdr:col>
      <xdr:colOff>756720</xdr:colOff>
      <xdr:row>23</xdr:row>
      <xdr:rowOff>178920</xdr:rowOff>
    </xdr:to>
    <xdr:graphicFrame>
      <xdr:nvGraphicFramePr>
        <xdr:cNvPr id="5" name="Chart 1"/>
        <xdr:cNvGraphicFramePr/>
      </xdr:nvGraphicFramePr>
      <xdr:xfrm>
        <a:off x="5607000" y="181080"/>
        <a:ext cx="9103680" cy="4160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0</xdr:rowOff>
    </xdr:from>
    <xdr:to>
      <xdr:col>19</xdr:col>
      <xdr:colOff>756720</xdr:colOff>
      <xdr:row>21</xdr:row>
      <xdr:rowOff>178920</xdr:rowOff>
    </xdr:to>
    <xdr:graphicFrame>
      <xdr:nvGraphicFramePr>
        <xdr:cNvPr id="6" name="Chart 1"/>
        <xdr:cNvGraphicFramePr/>
      </xdr:nvGraphicFramePr>
      <xdr:xfrm>
        <a:off x="7126560" y="181080"/>
        <a:ext cx="9862560" cy="3798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41</xdr:row>
      <xdr:rowOff>176760</xdr:rowOff>
    </xdr:from>
    <xdr:to>
      <xdr:col>5</xdr:col>
      <xdr:colOff>1209960</xdr:colOff>
      <xdr:row>58</xdr:row>
      <xdr:rowOff>174600</xdr:rowOff>
    </xdr:to>
    <xdr:graphicFrame>
      <xdr:nvGraphicFramePr>
        <xdr:cNvPr id="7" name="Chart 1"/>
        <xdr:cNvGraphicFramePr/>
      </xdr:nvGraphicFramePr>
      <xdr:xfrm>
        <a:off x="0" y="9882720"/>
        <a:ext cx="8667360" cy="307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41</xdr:row>
      <xdr:rowOff>176760</xdr:rowOff>
    </xdr:from>
    <xdr:to>
      <xdr:col>10</xdr:col>
      <xdr:colOff>1613880</xdr:colOff>
      <xdr:row>58</xdr:row>
      <xdr:rowOff>174600</xdr:rowOff>
    </xdr:to>
    <xdr:graphicFrame>
      <xdr:nvGraphicFramePr>
        <xdr:cNvPr id="8" name="Chart 2"/>
        <xdr:cNvGraphicFramePr/>
      </xdr:nvGraphicFramePr>
      <xdr:xfrm>
        <a:off x="10607760" y="9882720"/>
        <a:ext cx="5896800" cy="3074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LeadObservationsTable" displayName="LeadObservationsTable" ref="A7:J36" headerRowCount="1" totalsRowCount="0" totalsRowShown="0">
  <autoFilter ref="A7:J36"/>
  <tableColumns count="10">
    <tableColumn id="1" name="Application / Workstream"/>
    <tableColumn id="2" name="Three-period pattern"/>
    <tableColumn id="3" name="Q1"/>
    <tableColumn id="4" name="Q2"/>
    <tableColumn id="5" name="Q3TD*"/>
    <tableColumn id="6" name="Q1→Q2 Δ"/>
    <tableColumn id="7" name="Q2→Q3TD Δ*"/>
    <tableColumn id="8" name="Three-period observation"/>
    <tableColumn id="9" name="Question for application lead"/>
    <tableColumn id="10" name="Notes from lea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1.xml"/><Relationship Id="rId3" Type="http://schemas.openxmlformats.org/officeDocument/2006/relationships/vmlDrawing" Target="../drawings/vmlDrawing2.v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3.xml"/><Relationship Id="rId3" Type="http://schemas.openxmlformats.org/officeDocument/2006/relationships/vmlDrawing" Target="../drawings/vmlDrawing3.vml"/>
</Relationships>
</file>

<file path=xl/worksheets/_rels/sheet1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95"/>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41.25" hidden="false" customHeight="true" outlineLevel="0" collapsed="false">
      <c r="B6" s="5" t="s">
        <v>3</v>
      </c>
      <c r="C6" s="6" t="s">
        <v>4</v>
      </c>
    </row>
    <row r="7" customFormat="false" ht="27.75" hidden="false" customHeight="true" outlineLevel="0" collapsed="false">
      <c r="B7" s="5" t="s">
        <v>5</v>
      </c>
      <c r="C7" s="6" t="s">
        <v>6</v>
      </c>
    </row>
    <row r="8" customFormat="false" ht="27.75" hidden="false" customHeight="true" outlineLevel="0" collapsed="false">
      <c r="B8" s="5" t="s">
        <v>7</v>
      </c>
      <c r="C8" s="6" t="s">
        <v>8</v>
      </c>
    </row>
    <row r="9" customFormat="false" ht="15" hidden="false" customHeight="true" outlineLevel="0" collapsed="false">
      <c r="B9" s="5" t="s">
        <v>9</v>
      </c>
      <c r="C9" s="6" t="s">
        <v>10</v>
      </c>
    </row>
    <row r="11" customFormat="false" ht="15" hidden="false" customHeight="true" outlineLevel="0" collapsed="false">
      <c r="B11" s="4" t="s">
        <v>11</v>
      </c>
    </row>
    <row r="12" customFormat="false" ht="15" hidden="false" customHeight="true" outlineLevel="0" collapsed="false">
      <c r="B12" s="5" t="s">
        <v>12</v>
      </c>
      <c r="C12" s="6" t="s">
        <v>13</v>
      </c>
    </row>
    <row r="13" customFormat="false" ht="15" hidden="false" customHeight="true" outlineLevel="0" collapsed="false">
      <c r="B13" s="5" t="s">
        <v>14</v>
      </c>
      <c r="C13" s="6" t="s">
        <v>15</v>
      </c>
    </row>
    <row r="14" customFormat="false" ht="41.25" hidden="false" customHeight="true" outlineLevel="0" collapsed="false">
      <c r="B14" s="5" t="s">
        <v>16</v>
      </c>
      <c r="C14" s="6" t="s">
        <v>17</v>
      </c>
    </row>
    <row r="15" customFormat="false" ht="15" hidden="false" customHeight="true" outlineLevel="0" collapsed="false">
      <c r="B15" s="5" t="s">
        <v>18</v>
      </c>
      <c r="C15" s="6" t="s">
        <v>19</v>
      </c>
    </row>
    <row r="16" customFormat="false" ht="15" hidden="false" customHeight="true" outlineLevel="0" collapsed="false">
      <c r="B16" s="5" t="s">
        <v>20</v>
      </c>
      <c r="C16" s="6" t="s">
        <v>21</v>
      </c>
    </row>
    <row r="18" customFormat="false" ht="15" hidden="false" customHeight="true" outlineLevel="0" collapsed="false">
      <c r="B18" s="4" t="s">
        <v>22</v>
      </c>
    </row>
    <row r="19" customFormat="false" ht="41.25" hidden="false" customHeight="true" outlineLevel="0" collapsed="false">
      <c r="B19" s="5" t="s">
        <v>23</v>
      </c>
      <c r="C19" s="6" t="s">
        <v>24</v>
      </c>
    </row>
    <row r="20" customFormat="false" ht="27.75" hidden="false" customHeight="true" outlineLevel="0" collapsed="false">
      <c r="B20" s="5" t="s">
        <v>25</v>
      </c>
      <c r="C20" s="6" t="s">
        <v>26</v>
      </c>
    </row>
    <row r="21" customFormat="false" ht="27.75" hidden="false" customHeight="true" outlineLevel="0" collapsed="false">
      <c r="B21" s="5" t="s">
        <v>27</v>
      </c>
      <c r="C21" s="6" t="s">
        <v>28</v>
      </c>
    </row>
    <row r="22" customFormat="false" ht="27.75" hidden="false" customHeight="true" outlineLevel="0" collapsed="false">
      <c r="B22" s="5" t="s">
        <v>29</v>
      </c>
      <c r="C22" s="6" t="s">
        <v>30</v>
      </c>
    </row>
    <row r="24" customFormat="false" ht="15" hidden="false" customHeight="true" outlineLevel="0" collapsed="false">
      <c r="B24" s="4" t="s">
        <v>31</v>
      </c>
    </row>
    <row r="25" customFormat="false" ht="27.75" hidden="false" customHeight="true" outlineLevel="0" collapsed="false">
      <c r="B25" s="6" t="s">
        <v>32</v>
      </c>
      <c r="C25" s="6" t="s">
        <v>33</v>
      </c>
    </row>
    <row r="26" customFormat="false" ht="15" hidden="false" customHeight="true" outlineLevel="0" collapsed="false">
      <c r="B26" s="6" t="s">
        <v>34</v>
      </c>
      <c r="C26" s="6" t="s">
        <v>35</v>
      </c>
    </row>
    <row r="27" customFormat="false" ht="15" hidden="false" customHeight="true" outlineLevel="0" collapsed="false">
      <c r="B27" s="6" t="s">
        <v>36</v>
      </c>
      <c r="C27" s="6" t="s">
        <v>37</v>
      </c>
    </row>
    <row r="28" customFormat="false" ht="15" hidden="false" customHeight="true" outlineLevel="0" collapsed="false">
      <c r="B28" s="6" t="s">
        <v>38</v>
      </c>
      <c r="C28" s="6" t="s">
        <v>39</v>
      </c>
    </row>
    <row r="29" customFormat="false" ht="15" hidden="false" customHeight="true" outlineLevel="0" collapsed="false">
      <c r="B29" s="6" t="s">
        <v>40</v>
      </c>
      <c r="C29" s="6" t="s">
        <v>41</v>
      </c>
    </row>
    <row r="30" customFormat="false" ht="27.75" hidden="false" customHeight="true" outlineLevel="0" collapsed="false">
      <c r="B30" s="6" t="s">
        <v>42</v>
      </c>
      <c r="C30" s="6" t="s">
        <v>43</v>
      </c>
    </row>
    <row r="32" customFormat="false" ht="15" hidden="false" customHeight="true" outlineLevel="0" collapsed="false">
      <c r="B32" s="4" t="s">
        <v>44</v>
      </c>
    </row>
    <row r="33" customFormat="false" ht="15" hidden="false" customHeight="true" outlineLevel="0" collapsed="false">
      <c r="B33" s="1" t="s">
        <v>45</v>
      </c>
      <c r="C33" s="6" t="s">
        <v>46</v>
      </c>
    </row>
    <row r="34" customFormat="false" ht="27.75" hidden="false" customHeight="true" outlineLevel="0" collapsed="false">
      <c r="B34" s="1" t="s">
        <v>45</v>
      </c>
      <c r="C34" s="6" t="s">
        <v>47</v>
      </c>
    </row>
    <row r="35" customFormat="false" ht="27.75" hidden="false" customHeight="true" outlineLevel="0" collapsed="false">
      <c r="B35" s="1" t="s">
        <v>45</v>
      </c>
      <c r="C35" s="6" t="s">
        <v>48</v>
      </c>
    </row>
    <row r="36" customFormat="false" ht="15" hidden="false" customHeight="true" outlineLevel="0" collapsed="false">
      <c r="B36" s="1" t="s">
        <v>45</v>
      </c>
      <c r="C36" s="6" t="s">
        <v>49</v>
      </c>
    </row>
    <row r="37" customFormat="false" ht="27.75" hidden="false" customHeight="true" outlineLevel="0" collapsed="false">
      <c r="B37" s="1" t="s">
        <v>45</v>
      </c>
      <c r="C37" s="6"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22"/>
    <col collapsed="false" customWidth="true" hidden="false" outlineLevel="0" max="4" min="4" style="1" width="10"/>
    <col collapsed="false" customWidth="true" hidden="false" outlineLevel="0" max="7" min="5" style="1" width="46"/>
  </cols>
  <sheetData>
    <row r="1" customFormat="false" ht="19.5" hidden="false" customHeight="true" outlineLevel="0" collapsed="false">
      <c r="A1" s="2" t="s">
        <v>51</v>
      </c>
    </row>
    <row r="2" customFormat="false" ht="15" hidden="false" customHeight="true" outlineLevel="0" collapsed="false">
      <c r="A2" s="3" t="s">
        <v>52</v>
      </c>
    </row>
    <row r="4" customFormat="false" ht="15" hidden="false" customHeight="true" outlineLevel="0" collapsed="false">
      <c r="A4" s="7" t="s">
        <v>53</v>
      </c>
      <c r="B4" s="7" t="s">
        <v>54</v>
      </c>
      <c r="C4" s="7" t="s">
        <v>55</v>
      </c>
      <c r="D4" s="7" t="s">
        <v>56</v>
      </c>
      <c r="E4" s="7" t="s">
        <v>57</v>
      </c>
      <c r="F4" s="7" t="s">
        <v>58</v>
      </c>
      <c r="G4" s="7" t="s">
        <v>59</v>
      </c>
    </row>
    <row r="5" customFormat="false" ht="60" hidden="false" customHeight="true" outlineLevel="0" collapsed="false">
      <c r="A5" s="8" t="s">
        <v>60</v>
      </c>
      <c r="B5" s="8" t="s">
        <v>61</v>
      </c>
      <c r="C5" s="8" t="s">
        <v>62</v>
      </c>
      <c r="D5" s="9" t="s">
        <v>63</v>
      </c>
      <c r="E5" s="8" t="s">
        <v>64</v>
      </c>
      <c r="F5" s="8" t="s">
        <v>65</v>
      </c>
      <c r="G5" s="8" t="s">
        <v>66</v>
      </c>
    </row>
    <row r="6" customFormat="false" ht="60" hidden="false" customHeight="true" outlineLevel="0" collapsed="false">
      <c r="A6" s="8" t="s">
        <v>67</v>
      </c>
      <c r="B6" s="8" t="s">
        <v>68</v>
      </c>
      <c r="C6" s="8" t="s">
        <v>69</v>
      </c>
      <c r="D6" s="9" t="s">
        <v>63</v>
      </c>
      <c r="E6" s="8" t="s">
        <v>70</v>
      </c>
      <c r="F6" s="8" t="s">
        <v>71</v>
      </c>
      <c r="G6" s="8" t="s">
        <v>72</v>
      </c>
    </row>
    <row r="7" customFormat="false" ht="60" hidden="false" customHeight="true" outlineLevel="0" collapsed="false">
      <c r="A7" s="8" t="s">
        <v>73</v>
      </c>
      <c r="B7" s="8" t="s">
        <v>74</v>
      </c>
      <c r="C7" s="8" t="s">
        <v>75</v>
      </c>
      <c r="D7" s="9" t="s">
        <v>63</v>
      </c>
      <c r="E7" s="8" t="s">
        <v>76</v>
      </c>
      <c r="F7" s="8" t="s">
        <v>77</v>
      </c>
      <c r="G7" s="8" t="s">
        <v>78</v>
      </c>
    </row>
    <row r="8" customFormat="false" ht="60" hidden="false" customHeight="true" outlineLevel="0" collapsed="false">
      <c r="A8" s="8" t="s">
        <v>79</v>
      </c>
      <c r="B8" s="8" t="s">
        <v>80</v>
      </c>
      <c r="C8" s="8" t="s">
        <v>81</v>
      </c>
      <c r="D8" s="10" t="s">
        <v>82</v>
      </c>
      <c r="E8" s="8" t="s">
        <v>83</v>
      </c>
      <c r="F8" s="8" t="s">
        <v>84</v>
      </c>
      <c r="G8" s="8" t="s">
        <v>85</v>
      </c>
    </row>
    <row r="9" customFormat="false" ht="60" hidden="false" customHeight="true" outlineLevel="0" collapsed="false">
      <c r="A9" s="8" t="s">
        <v>86</v>
      </c>
      <c r="B9" s="8" t="s">
        <v>87</v>
      </c>
      <c r="C9" s="8" t="s">
        <v>88</v>
      </c>
      <c r="D9" s="10" t="s">
        <v>82</v>
      </c>
      <c r="E9" s="8" t="s">
        <v>89</v>
      </c>
      <c r="F9" s="8" t="s">
        <v>90</v>
      </c>
      <c r="G9" s="8" t="s">
        <v>91</v>
      </c>
    </row>
    <row r="10" customFormat="false" ht="60" hidden="false" customHeight="true" outlineLevel="0" collapsed="false">
      <c r="A10" s="8" t="s">
        <v>92</v>
      </c>
      <c r="B10" s="8" t="s">
        <v>93</v>
      </c>
      <c r="C10" s="8" t="s">
        <v>94</v>
      </c>
      <c r="D10" s="9" t="s">
        <v>63</v>
      </c>
      <c r="E10" s="8" t="s">
        <v>95</v>
      </c>
      <c r="F10" s="8" t="s">
        <v>96</v>
      </c>
      <c r="G10" s="8" t="s">
        <v>97</v>
      </c>
    </row>
    <row r="11" customFormat="false" ht="60" hidden="false" customHeight="true" outlineLevel="0" collapsed="false">
      <c r="A11" s="8" t="s">
        <v>98</v>
      </c>
      <c r="B11" s="8" t="s">
        <v>7</v>
      </c>
      <c r="C11" s="8" t="s">
        <v>99</v>
      </c>
      <c r="D11" s="10" t="s">
        <v>82</v>
      </c>
      <c r="E11" s="8" t="s">
        <v>100</v>
      </c>
      <c r="F11" s="8" t="s">
        <v>101</v>
      </c>
      <c r="G11" s="8" t="s">
        <v>102</v>
      </c>
    </row>
    <row r="12" customFormat="false" ht="60" hidden="false" customHeight="true" outlineLevel="0" collapsed="false">
      <c r="A12" s="8" t="s">
        <v>103</v>
      </c>
      <c r="B12" s="8" t="s">
        <v>104</v>
      </c>
      <c r="C12" s="8" t="s">
        <v>105</v>
      </c>
      <c r="D12" s="11" t="s">
        <v>106</v>
      </c>
      <c r="E12" s="8" t="s">
        <v>107</v>
      </c>
      <c r="F12" s="8" t="s">
        <v>108</v>
      </c>
      <c r="G12" s="8" t="s">
        <v>109</v>
      </c>
    </row>
    <row r="13" customFormat="false" ht="60" hidden="false" customHeight="true" outlineLevel="0" collapsed="false">
      <c r="A13" s="8" t="s">
        <v>110</v>
      </c>
      <c r="B13" s="8" t="s">
        <v>61</v>
      </c>
      <c r="C13" s="8" t="s">
        <v>111</v>
      </c>
      <c r="D13" s="10" t="s">
        <v>82</v>
      </c>
      <c r="E13" s="8" t="s">
        <v>112</v>
      </c>
      <c r="F13" s="8" t="s">
        <v>113</v>
      </c>
      <c r="G13" s="8" t="s">
        <v>114</v>
      </c>
    </row>
    <row r="14" customFormat="false" ht="60" hidden="false" customHeight="true" outlineLevel="0" collapsed="false">
      <c r="A14" s="8" t="s">
        <v>115</v>
      </c>
      <c r="B14" s="8" t="s">
        <v>116</v>
      </c>
      <c r="C14" s="8" t="s">
        <v>117</v>
      </c>
      <c r="D14" s="10" t="s">
        <v>82</v>
      </c>
      <c r="E14" s="8" t="s">
        <v>118</v>
      </c>
      <c r="F14" s="8" t="s">
        <v>119</v>
      </c>
      <c r="G14" s="8"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7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G25" activeCellId="0" sqref="G25"/>
    </sheetView>
  </sheetViews>
  <sheetFormatPr defaultColWidth="8.5390625" defaultRowHeight="15" zeroHeight="false" outlineLevelRow="0" outlineLevelCol="0"/>
  <cols>
    <col collapsed="false" customWidth="true" hidden="false" outlineLevel="0" max="1" min="1" style="1" width="9.18"/>
    <col collapsed="false" customWidth="true" hidden="false" outlineLevel="0" max="2" min="2" style="1" width="10.63"/>
    <col collapsed="false" customWidth="true" hidden="false" outlineLevel="0" max="3" min="3" style="1" width="12.36"/>
    <col collapsed="false" customWidth="true" hidden="false" outlineLevel="0" max="4" min="4" style="1" width="12.18"/>
    <col collapsed="false" customWidth="true" hidden="false" outlineLevel="0" max="5" min="5" style="1" width="18.64"/>
    <col collapsed="false" customWidth="true" hidden="false" outlineLevel="0" max="6" min="6" style="1" width="12.63"/>
    <col collapsed="false" customWidth="true" hidden="false" outlineLevel="0" max="16" min="7" style="1" width="12.91"/>
    <col collapsed="false" customWidth="true" hidden="false" outlineLevel="0" max="21" min="17" style="1" width="15.45"/>
    <col collapsed="false" customWidth="true" hidden="false" outlineLevel="0" max="22" min="22" style="12" width="11.81"/>
    <col collapsed="false" customWidth="true" hidden="false" outlineLevel="0" max="23" min="23" style="12" width="12.63"/>
    <col collapsed="false" customWidth="true" hidden="false" outlineLevel="0" max="24" min="24" style="1" width="12.63"/>
    <col collapsed="false" customWidth="true" hidden="false" outlineLevel="0" max="30" min="25" style="1" width="13"/>
    <col collapsed="false" customWidth="true" hidden="false" outlineLevel="0" max="31" min="31" style="1" width="12.63"/>
    <col collapsed="false" customWidth="true" hidden="false" outlineLevel="0" max="34" min="32" style="1" width="13"/>
    <col collapsed="false" customWidth="true" hidden="false" outlineLevel="0" max="36" min="35" style="1" width="12.91"/>
    <col collapsed="false" customWidth="true" hidden="false" outlineLevel="0" max="37" min="37" style="1" width="13"/>
    <col collapsed="false" customWidth="true" hidden="false" outlineLevel="0" max="38" min="38" style="1" width="12.63"/>
    <col collapsed="false" customWidth="true" hidden="false" outlineLevel="0" max="41" min="39" style="1" width="13"/>
    <col collapsed="false" customWidth="true" hidden="false" outlineLevel="0" max="43" min="42" style="1" width="12.91"/>
    <col collapsed="false" customWidth="true" hidden="false" outlineLevel="0" max="45" min="44" style="1" width="13"/>
    <col collapsed="false" customWidth="true" hidden="false" outlineLevel="0" max="46" min="46" style="1" width="12.63"/>
  </cols>
  <sheetData>
    <row r="1" customFormat="false" ht="53.25" hidden="false" customHeight="true" outlineLevel="0" collapsed="false">
      <c r="A1" s="13" t="s">
        <v>121</v>
      </c>
      <c r="B1" s="13" t="s">
        <v>122</v>
      </c>
      <c r="C1" s="13" t="s">
        <v>123</v>
      </c>
      <c r="D1" s="14" t="s">
        <v>124</v>
      </c>
      <c r="E1" s="14" t="s">
        <v>125</v>
      </c>
      <c r="F1" s="14" t="s">
        <v>126</v>
      </c>
      <c r="G1" s="15" t="s">
        <v>127</v>
      </c>
      <c r="H1" s="15" t="s">
        <v>128</v>
      </c>
      <c r="I1" s="15" t="s">
        <v>129</v>
      </c>
      <c r="J1" s="15" t="s">
        <v>130</v>
      </c>
      <c r="K1" s="15" t="s">
        <v>131</v>
      </c>
      <c r="L1" s="15" t="s">
        <v>132</v>
      </c>
      <c r="M1" s="15" t="s">
        <v>133</v>
      </c>
      <c r="N1" s="15" t="s">
        <v>134</v>
      </c>
      <c r="O1" s="15" t="s">
        <v>135</v>
      </c>
      <c r="P1" s="15" t="s">
        <v>136</v>
      </c>
      <c r="Q1" s="15" t="s">
        <v>137</v>
      </c>
      <c r="R1" s="16" t="s">
        <v>138</v>
      </c>
      <c r="S1" s="16" t="s">
        <v>139</v>
      </c>
      <c r="T1" s="16" t="s">
        <v>140</v>
      </c>
      <c r="U1" s="16" t="s">
        <v>141</v>
      </c>
      <c r="V1" s="17" t="s">
        <v>142</v>
      </c>
      <c r="W1" s="17" t="s">
        <v>143</v>
      </c>
      <c r="X1" s="17" t="s">
        <v>144</v>
      </c>
      <c r="Y1" s="15" t="s">
        <v>145</v>
      </c>
      <c r="Z1" s="15" t="s">
        <v>146</v>
      </c>
      <c r="AA1" s="15" t="s">
        <v>147</v>
      </c>
      <c r="AB1" s="15" t="s">
        <v>148</v>
      </c>
      <c r="AC1" s="15" t="s">
        <v>149</v>
      </c>
      <c r="AD1" s="15" t="s">
        <v>150</v>
      </c>
      <c r="AE1" s="17" t="s">
        <v>151</v>
      </c>
      <c r="AF1" s="18" t="s">
        <v>152</v>
      </c>
      <c r="AG1" s="18" t="s">
        <v>153</v>
      </c>
      <c r="AH1" s="18" t="s">
        <v>154</v>
      </c>
      <c r="AI1" s="18" t="s">
        <v>155</v>
      </c>
      <c r="AJ1" s="18" t="s">
        <v>156</v>
      </c>
      <c r="AK1" s="19" t="s">
        <v>127</v>
      </c>
      <c r="AL1" s="17" t="s">
        <v>157</v>
      </c>
      <c r="AM1" s="18" t="s">
        <v>128</v>
      </c>
      <c r="AN1" s="18" t="s">
        <v>129</v>
      </c>
      <c r="AO1" s="18" t="s">
        <v>130</v>
      </c>
      <c r="AP1" s="18" t="s">
        <v>131</v>
      </c>
      <c r="AQ1" s="18" t="s">
        <v>132</v>
      </c>
      <c r="AR1" s="19" t="s">
        <v>133</v>
      </c>
      <c r="AS1" s="19" t="s">
        <v>134</v>
      </c>
      <c r="AT1" s="17" t="s">
        <v>158</v>
      </c>
      <c r="AU1" s="20" t="s">
        <v>159</v>
      </c>
      <c r="AV1" s="20" t="s">
        <v>160</v>
      </c>
      <c r="AW1" s="20" t="s">
        <v>161</v>
      </c>
    </row>
    <row r="2" customFormat="false" ht="15" hidden="false" customHeight="true" outlineLevel="0" collapsed="false">
      <c r="A2" s="21" t="n">
        <v>1</v>
      </c>
      <c r="B2" s="21" t="s">
        <v>162</v>
      </c>
      <c r="C2" s="22" t="s">
        <v>163</v>
      </c>
      <c r="D2" s="23" t="s">
        <v>164</v>
      </c>
      <c r="E2" s="24" t="s">
        <v>165</v>
      </c>
      <c r="F2" s="25" t="s">
        <v>166</v>
      </c>
      <c r="G2" s="26"/>
      <c r="H2" s="26"/>
      <c r="I2" s="26"/>
      <c r="J2" s="26"/>
      <c r="K2" s="26"/>
      <c r="L2" s="26"/>
      <c r="M2" s="26"/>
      <c r="N2" s="26"/>
      <c r="O2" s="26"/>
      <c r="P2" s="26"/>
      <c r="Q2" s="26"/>
      <c r="R2" s="26"/>
      <c r="S2" s="26" t="n">
        <v>4.66666666666667</v>
      </c>
      <c r="T2" s="26" t="n">
        <v>3.66666666666667</v>
      </c>
      <c r="U2" s="26" t="n">
        <v>6.5</v>
      </c>
      <c r="V2" s="26" t="n">
        <f aca="false">AVERAGE(G2:U2)</f>
        <v>4.94444444444445</v>
      </c>
      <c r="W2" s="26"/>
      <c r="X2" s="26" t="n">
        <f aca="false">AVERAGE(O2:U2)</f>
        <v>4.94444444444445</v>
      </c>
      <c r="Y2" s="27" t="n">
        <v>3.25</v>
      </c>
      <c r="Z2" s="27" t="n">
        <v>6.75</v>
      </c>
      <c r="AA2" s="27" t="n">
        <v>8.25</v>
      </c>
      <c r="AB2" s="27" t="n">
        <v>5.5</v>
      </c>
      <c r="AC2" s="27" t="n">
        <v>3</v>
      </c>
      <c r="AD2" s="27" t="n">
        <v>10.5</v>
      </c>
      <c r="AE2" s="27" t="n">
        <f aca="false">AVERAGE(Y2:AD2)</f>
        <v>6.20833333333333</v>
      </c>
      <c r="AF2" s="28" t="n">
        <v>7.25</v>
      </c>
      <c r="AG2" s="28" t="n">
        <v>5.75</v>
      </c>
      <c r="AH2" s="28" t="n">
        <v>5.6</v>
      </c>
      <c r="AI2" s="28" t="n">
        <v>5.2</v>
      </c>
      <c r="AJ2" s="28" t="n">
        <v>6.75</v>
      </c>
      <c r="AK2" s="29" t="n">
        <v>8</v>
      </c>
      <c r="AL2" s="28" t="n">
        <f aca="false">AVERAGE(AF2:AK2)</f>
        <v>6.425</v>
      </c>
      <c r="AM2" s="28" t="n">
        <v>8</v>
      </c>
      <c r="AN2" s="28" t="n">
        <v>7.25</v>
      </c>
      <c r="AO2" s="28" t="n">
        <v>0</v>
      </c>
      <c r="AP2" s="28"/>
      <c r="AQ2" s="28"/>
      <c r="AR2" s="29"/>
      <c r="AS2" s="29"/>
      <c r="AT2" s="28" t="n">
        <f aca="false">AVERAGE(AM2:AR2)</f>
        <v>5.08333333333333</v>
      </c>
      <c r="AU2" s="1" t="n">
        <f aca="false">COUNT(G2:U2)</f>
        <v>3</v>
      </c>
      <c r="AV2" s="1" t="str">
        <f aca="false">IF(AU2&lt;5,"Low coverage",IF(AU2&lt;15,"Partial","Full"))</f>
        <v>Low coverage</v>
      </c>
    </row>
    <row r="3" customFormat="false" ht="15" hidden="false" customHeight="true" outlineLevel="0" collapsed="false">
      <c r="A3" s="30" t="n">
        <v>2</v>
      </c>
      <c r="B3" s="30" t="s">
        <v>162</v>
      </c>
      <c r="C3" s="22" t="s">
        <v>163</v>
      </c>
      <c r="D3" s="23" t="s">
        <v>164</v>
      </c>
      <c r="E3" s="24" t="s">
        <v>167</v>
      </c>
      <c r="F3" s="25" t="s">
        <v>166</v>
      </c>
      <c r="G3" s="26" t="n">
        <v>9.57142857142857</v>
      </c>
      <c r="H3" s="26" t="n">
        <v>10.5714285714286</v>
      </c>
      <c r="I3" s="26" t="n">
        <v>12</v>
      </c>
      <c r="J3" s="26" t="n">
        <v>8.8</v>
      </c>
      <c r="K3" s="26" t="n">
        <v>8.90909090909091</v>
      </c>
      <c r="L3" s="26" t="n">
        <v>9.81818181818182</v>
      </c>
      <c r="M3" s="26" t="n">
        <v>9</v>
      </c>
      <c r="N3" s="26" t="n">
        <v>9.33333333333333</v>
      </c>
      <c r="O3" s="26" t="n">
        <v>9.07692307692308</v>
      </c>
      <c r="P3" s="26" t="n">
        <v>8.15384615384615</v>
      </c>
      <c r="Q3" s="26" t="n">
        <v>8</v>
      </c>
      <c r="R3" s="26" t="n">
        <v>10.30769231</v>
      </c>
      <c r="S3" s="26" t="n">
        <v>10.62</v>
      </c>
      <c r="T3" s="26" t="n">
        <v>8.46</v>
      </c>
      <c r="U3" s="26" t="n">
        <v>3.7</v>
      </c>
      <c r="V3" s="26" t="n">
        <f aca="false">AVERAGE(G3:U3)</f>
        <v>9.08812831628216</v>
      </c>
      <c r="W3" s="26" t="n">
        <f aca="false">AVERAGE(I3:N3)</f>
        <v>9.64343434343434</v>
      </c>
      <c r="X3" s="26" t="n">
        <f aca="false">AVERAGE(O3:U3)</f>
        <v>8.33120879153846</v>
      </c>
      <c r="Y3" s="27" t="n">
        <v>7.82</v>
      </c>
      <c r="Z3" s="27" t="n">
        <v>7.27</v>
      </c>
      <c r="AA3" s="27" t="n">
        <v>9.2</v>
      </c>
      <c r="AB3" s="27" t="n">
        <v>10.4</v>
      </c>
      <c r="AC3" s="27" t="n">
        <v>9.8</v>
      </c>
      <c r="AD3" s="27" t="n">
        <v>9.4</v>
      </c>
      <c r="AE3" s="27" t="n">
        <f aca="false">AVERAGE(Y3:AD3)</f>
        <v>8.98166666666667</v>
      </c>
      <c r="AF3" s="28" t="n">
        <v>10</v>
      </c>
      <c r="AG3" s="28" t="n">
        <v>10.6</v>
      </c>
      <c r="AH3" s="28" t="n">
        <v>10.6</v>
      </c>
      <c r="AI3" s="28" t="n">
        <v>10.4</v>
      </c>
      <c r="AJ3" s="28" t="n">
        <v>10.6</v>
      </c>
      <c r="AK3" s="29" t="n">
        <v>11.8</v>
      </c>
      <c r="AL3" s="28" t="n">
        <f aca="false">AVERAGE(AF3:AK3)</f>
        <v>10.6666666666667</v>
      </c>
      <c r="AM3" s="28" t="n">
        <v>10.8</v>
      </c>
      <c r="AN3" s="28" t="n">
        <v>13.8</v>
      </c>
      <c r="AO3" s="28" t="n">
        <v>10.2</v>
      </c>
      <c r="AP3" s="28"/>
      <c r="AQ3" s="28"/>
      <c r="AR3" s="29"/>
      <c r="AS3" s="29"/>
      <c r="AT3" s="28" t="n">
        <f aca="false">AVERAGE(AM3:AR3)</f>
        <v>11.6</v>
      </c>
      <c r="AU3" s="1" t="n">
        <f aca="false">COUNT(G3:U3)</f>
        <v>15</v>
      </c>
      <c r="AV3" s="1" t="str">
        <f aca="false">IF(AU3&lt;5,"Low coverage",IF(AU3&lt;15,"Partial","Full"))</f>
        <v>Full</v>
      </c>
    </row>
    <row r="4" customFormat="false" ht="15" hidden="false" customHeight="true" outlineLevel="0" collapsed="false">
      <c r="A4" s="21" t="n">
        <v>3</v>
      </c>
      <c r="B4" s="30" t="s">
        <v>162</v>
      </c>
      <c r="C4" s="22" t="s">
        <v>163</v>
      </c>
      <c r="D4" s="23" t="s">
        <v>168</v>
      </c>
      <c r="E4" s="25" t="s">
        <v>169</v>
      </c>
      <c r="F4" s="25" t="s">
        <v>166</v>
      </c>
      <c r="G4" s="26" t="n">
        <v>3.11111111111111</v>
      </c>
      <c r="H4" s="26" t="n">
        <v>3.55555555555556</v>
      </c>
      <c r="I4" s="26" t="n">
        <v>2.22222222222222</v>
      </c>
      <c r="J4" s="26" t="n">
        <v>2.88888888888889</v>
      </c>
      <c r="K4" s="26" t="n">
        <v>3.33333333333333</v>
      </c>
      <c r="L4" s="26" t="n">
        <v>3</v>
      </c>
      <c r="M4" s="26" t="n">
        <v>2.4</v>
      </c>
      <c r="N4" s="26" t="n">
        <v>4.3</v>
      </c>
      <c r="O4" s="26" t="n">
        <v>3.9</v>
      </c>
      <c r="P4" s="26" t="n">
        <v>5</v>
      </c>
      <c r="Q4" s="26" t="n">
        <v>4</v>
      </c>
      <c r="R4" s="26" t="n">
        <v>3.5555556</v>
      </c>
      <c r="S4" s="26" t="n">
        <v>4.06</v>
      </c>
      <c r="T4" s="26" t="n">
        <v>3.94</v>
      </c>
      <c r="U4" s="26" t="n">
        <v>5.11111111111111</v>
      </c>
      <c r="V4" s="26" t="n">
        <f aca="false">AVERAGE(G4:U4)</f>
        <v>3.62518518814815</v>
      </c>
      <c r="W4" s="26" t="n">
        <f aca="false">AVERAGE(I4:N4)</f>
        <v>3.02407407407407</v>
      </c>
      <c r="X4" s="26" t="n">
        <f aca="false">AVERAGE(O4:U4)</f>
        <v>4.22380953015873</v>
      </c>
      <c r="Y4" s="27" t="n">
        <v>3</v>
      </c>
      <c r="Z4" s="27" t="n">
        <v>4.33</v>
      </c>
      <c r="AA4" s="27" t="n">
        <v>4</v>
      </c>
      <c r="AB4" s="27" t="n">
        <v>4.33</v>
      </c>
      <c r="AC4" s="27" t="n">
        <v>4.22</v>
      </c>
      <c r="AD4" s="27" t="n">
        <v>3.56</v>
      </c>
      <c r="AE4" s="27" t="n">
        <f aca="false">AVERAGE(Y4:AD4)</f>
        <v>3.90666666666667</v>
      </c>
      <c r="AF4" s="28" t="n">
        <v>4.11111111111111</v>
      </c>
      <c r="AG4" s="28" t="n">
        <v>3.77777777777778</v>
      </c>
      <c r="AH4" s="28" t="n">
        <v>4.11</v>
      </c>
      <c r="AI4" s="28" t="n">
        <v>4.888888889</v>
      </c>
      <c r="AJ4" s="28" t="n">
        <v>5.33</v>
      </c>
      <c r="AK4" s="29" t="n">
        <v>5.38888888888889</v>
      </c>
      <c r="AL4" s="28" t="n">
        <f aca="false">AVERAGE(AF4:AK4)</f>
        <v>4.60111111112963</v>
      </c>
      <c r="AM4" s="28" t="n">
        <v>5</v>
      </c>
      <c r="AN4" s="28" t="n">
        <v>5.56</v>
      </c>
      <c r="AO4" s="28" t="n">
        <v>5.666666667</v>
      </c>
      <c r="AP4" s="28"/>
      <c r="AQ4" s="28"/>
      <c r="AR4" s="29"/>
      <c r="AS4" s="29"/>
      <c r="AT4" s="28" t="n">
        <f aca="false">AVERAGE(AM4:AR4)</f>
        <v>5.408888889</v>
      </c>
      <c r="AU4" s="1" t="n">
        <f aca="false">COUNT(G4:U4)</f>
        <v>15</v>
      </c>
      <c r="AV4" s="1" t="str">
        <f aca="false">IF(AU4&lt;5,"Low coverage",IF(AU4&lt;15,"Partial","Full"))</f>
        <v>Full</v>
      </c>
    </row>
    <row r="5" customFormat="false" ht="15" hidden="false" customHeight="true" outlineLevel="0" collapsed="false">
      <c r="A5" s="30" t="n">
        <v>4</v>
      </c>
      <c r="B5" s="30" t="s">
        <v>162</v>
      </c>
      <c r="C5" s="22" t="s">
        <v>163</v>
      </c>
      <c r="D5" s="23" t="s">
        <v>168</v>
      </c>
      <c r="E5" s="31" t="s">
        <v>170</v>
      </c>
      <c r="F5" s="25" t="s">
        <v>166</v>
      </c>
      <c r="G5" s="26" t="n">
        <v>4.25</v>
      </c>
      <c r="H5" s="26" t="n">
        <v>4</v>
      </c>
      <c r="I5" s="26" t="n">
        <v>5.25</v>
      </c>
      <c r="J5" s="26" t="n">
        <v>5</v>
      </c>
      <c r="K5" s="26" t="n">
        <v>4.25</v>
      </c>
      <c r="L5" s="26" t="n">
        <v>4</v>
      </c>
      <c r="M5" s="26" t="n">
        <v>3.25</v>
      </c>
      <c r="N5" s="26" t="n">
        <v>4.75</v>
      </c>
      <c r="O5" s="26" t="n">
        <v>4.3</v>
      </c>
      <c r="P5" s="26" t="n">
        <v>4</v>
      </c>
      <c r="Q5" s="26" t="n">
        <v>3.5</v>
      </c>
      <c r="R5" s="26" t="n">
        <v>5</v>
      </c>
      <c r="S5" s="26" t="n">
        <v>4.5</v>
      </c>
      <c r="T5" s="26" t="n">
        <v>4.25</v>
      </c>
      <c r="U5" s="26" t="n">
        <v>4</v>
      </c>
      <c r="V5" s="26" t="n">
        <f aca="false">AVERAGE(G5:U5)</f>
        <v>4.28666666666667</v>
      </c>
      <c r="W5" s="26" t="n">
        <f aca="false">AVERAGE(I5:N5)</f>
        <v>4.41666666666667</v>
      </c>
      <c r="X5" s="26" t="n">
        <f aca="false">AVERAGE(O5:U5)</f>
        <v>4.22142857142857</v>
      </c>
      <c r="Y5" s="27" t="n">
        <v>3.25</v>
      </c>
      <c r="Z5" s="27" t="n">
        <v>4.25</v>
      </c>
      <c r="AA5" s="27" t="n">
        <v>4.75</v>
      </c>
      <c r="AB5" s="27" t="n">
        <v>5</v>
      </c>
      <c r="AC5" s="27" t="n">
        <v>6</v>
      </c>
      <c r="AD5" s="27" t="n">
        <v>3.25</v>
      </c>
      <c r="AE5" s="27" t="n">
        <f aca="false">AVERAGE(Y5:AD5)</f>
        <v>4.41666666666667</v>
      </c>
      <c r="AF5" s="28" t="n">
        <v>4.25</v>
      </c>
      <c r="AG5" s="28" t="n">
        <v>4</v>
      </c>
      <c r="AH5" s="28" t="n">
        <v>4.5</v>
      </c>
      <c r="AI5" s="28" t="n">
        <v>5</v>
      </c>
      <c r="AJ5" s="28" t="n">
        <v>4</v>
      </c>
      <c r="AK5" s="32" t="n">
        <v>4</v>
      </c>
      <c r="AL5" s="28" t="n">
        <f aca="false">AVERAGE(AF5:AK5)</f>
        <v>4.29166666666667</v>
      </c>
      <c r="AM5" s="28" t="n">
        <v>3.25</v>
      </c>
      <c r="AN5" s="28" t="n">
        <v>5</v>
      </c>
      <c r="AO5" s="28" t="n">
        <v>5.25</v>
      </c>
      <c r="AP5" s="28"/>
      <c r="AQ5" s="28"/>
      <c r="AR5" s="32"/>
      <c r="AS5" s="32"/>
      <c r="AT5" s="28" t="n">
        <f aca="false">AVERAGE(AM5:AR5)</f>
        <v>4.5</v>
      </c>
      <c r="AU5" s="1" t="n">
        <f aca="false">COUNT(G5:U5)</f>
        <v>15</v>
      </c>
      <c r="AV5" s="1" t="str">
        <f aca="false">IF(AU5&lt;5,"Low coverage",IF(AU5&lt;15,"Partial","Full"))</f>
        <v>Full</v>
      </c>
    </row>
    <row r="6" customFormat="false" ht="15" hidden="false" customHeight="true" outlineLevel="0" collapsed="false">
      <c r="A6" s="21" t="n">
        <v>5</v>
      </c>
      <c r="B6" s="33" t="s">
        <v>162</v>
      </c>
      <c r="C6" s="22" t="s">
        <v>163</v>
      </c>
      <c r="D6" s="23" t="s">
        <v>168</v>
      </c>
      <c r="E6" s="25" t="s">
        <v>171</v>
      </c>
      <c r="F6" s="25" t="s">
        <v>166</v>
      </c>
      <c r="G6" s="26" t="n">
        <v>7.83333333333333</v>
      </c>
      <c r="H6" s="26" t="n">
        <v>7.16666666666667</v>
      </c>
      <c r="I6" s="26" t="n">
        <v>10</v>
      </c>
      <c r="J6" s="26" t="n">
        <v>12.5</v>
      </c>
      <c r="K6" s="26" t="n">
        <v>13.3333333333333</v>
      </c>
      <c r="L6" s="26" t="n">
        <v>7.83333333333333</v>
      </c>
      <c r="M6" s="26" t="n">
        <v>13.6666666666667</v>
      </c>
      <c r="N6" s="26" t="n">
        <v>11.1666666666667</v>
      </c>
      <c r="O6" s="26" t="n">
        <v>11.2</v>
      </c>
      <c r="P6" s="26" t="n">
        <v>11.4</v>
      </c>
      <c r="Q6" s="26" t="n">
        <v>10.8</v>
      </c>
      <c r="R6" s="26" t="n">
        <v>10</v>
      </c>
      <c r="S6" s="26" t="n">
        <v>12</v>
      </c>
      <c r="T6" s="26" t="n">
        <v>11</v>
      </c>
      <c r="U6" s="26" t="n">
        <v>7.2</v>
      </c>
      <c r="V6" s="26" t="n">
        <f aca="false">AVERAGE(G6:U6)</f>
        <v>10.4733333333333</v>
      </c>
      <c r="W6" s="26" t="n">
        <f aca="false">AVERAGE(I6:N6)</f>
        <v>11.4166666666667</v>
      </c>
      <c r="X6" s="26" t="n">
        <f aca="false">AVERAGE(O6:U6)</f>
        <v>10.5142857142857</v>
      </c>
      <c r="Y6" s="27" t="n">
        <v>11.4</v>
      </c>
      <c r="Z6" s="27" t="n">
        <v>13</v>
      </c>
      <c r="AA6" s="27" t="n">
        <v>12.6</v>
      </c>
      <c r="AB6" s="27" t="n">
        <v>12</v>
      </c>
      <c r="AC6" s="27" t="n">
        <v>12.4</v>
      </c>
      <c r="AD6" s="27" t="n">
        <v>9.57142857142857</v>
      </c>
      <c r="AE6" s="27" t="n">
        <f aca="false">AVERAGE(Y6:AD6)</f>
        <v>11.8285714285714</v>
      </c>
      <c r="AF6" s="28" t="n">
        <v>12.8</v>
      </c>
      <c r="AG6" s="28" t="n">
        <v>14.2</v>
      </c>
      <c r="AH6" s="28" t="n">
        <v>13.2</v>
      </c>
      <c r="AI6" s="28" t="n">
        <v>14</v>
      </c>
      <c r="AJ6" s="28" t="n">
        <v>12</v>
      </c>
      <c r="AK6" s="29" t="n">
        <v>12</v>
      </c>
      <c r="AL6" s="28" t="n">
        <f aca="false">AVERAGE(AF6:AK6)</f>
        <v>13.0333333333333</v>
      </c>
      <c r="AM6" s="28" t="n">
        <v>13.2</v>
      </c>
      <c r="AN6" s="28" t="n">
        <v>14</v>
      </c>
      <c r="AO6" s="28" t="n">
        <v>15</v>
      </c>
      <c r="AP6" s="28"/>
      <c r="AQ6" s="28"/>
      <c r="AR6" s="29"/>
      <c r="AS6" s="29"/>
      <c r="AT6" s="28" t="n">
        <f aca="false">AVERAGE(AM6:AR6)</f>
        <v>14.0666666666667</v>
      </c>
      <c r="AU6" s="1" t="n">
        <f aca="false">COUNT(G6:U6)</f>
        <v>15</v>
      </c>
      <c r="AV6" s="1" t="str">
        <f aca="false">IF(AU6&lt;5,"Low coverage",IF(AU6&lt;15,"Partial","Full"))</f>
        <v>Full</v>
      </c>
    </row>
    <row r="7" customFormat="false" ht="15" hidden="false" customHeight="true" outlineLevel="0" collapsed="false">
      <c r="A7" s="30" t="n">
        <v>6</v>
      </c>
      <c r="B7" s="33" t="s">
        <v>162</v>
      </c>
      <c r="C7" s="22" t="s">
        <v>163</v>
      </c>
      <c r="D7" s="23" t="s">
        <v>168</v>
      </c>
      <c r="E7" s="25" t="s">
        <v>172</v>
      </c>
      <c r="F7" s="25" t="s">
        <v>166</v>
      </c>
      <c r="G7" s="26" t="n">
        <v>7.63636363636364</v>
      </c>
      <c r="H7" s="26" t="n">
        <v>6.90909090909091</v>
      </c>
      <c r="I7" s="26" t="n">
        <v>7.33333333333333</v>
      </c>
      <c r="J7" s="26" t="n">
        <v>8.5</v>
      </c>
      <c r="K7" s="26" t="n">
        <v>8.16666666666667</v>
      </c>
      <c r="L7" s="26" t="n">
        <v>8</v>
      </c>
      <c r="M7" s="26" t="n">
        <v>5.83333333333333</v>
      </c>
      <c r="N7" s="26" t="n">
        <v>8.33333333333333</v>
      </c>
      <c r="O7" s="26" t="n">
        <v>8.28571428571429</v>
      </c>
      <c r="P7" s="26" t="n">
        <v>7.9</v>
      </c>
      <c r="Q7" s="26" t="n">
        <v>8.28571428571429</v>
      </c>
      <c r="R7" s="26" t="n">
        <v>7.142857143</v>
      </c>
      <c r="S7" s="26" t="n">
        <v>7.43</v>
      </c>
      <c r="T7" s="26" t="n">
        <v>7.57</v>
      </c>
      <c r="U7" s="26" t="n">
        <v>9.3</v>
      </c>
      <c r="V7" s="26" t="n">
        <f aca="false">AVERAGE(G7:U7)</f>
        <v>7.77509379510332</v>
      </c>
      <c r="W7" s="26" t="n">
        <f aca="false">AVERAGE(I7:N7)</f>
        <v>7.69444444444444</v>
      </c>
      <c r="X7" s="26" t="n">
        <f aca="false">AVERAGE(O7:U7)</f>
        <v>7.98775510206123</v>
      </c>
      <c r="Y7" s="27" t="n">
        <v>9</v>
      </c>
      <c r="Z7" s="27" t="n">
        <v>8.28</v>
      </c>
      <c r="AA7" s="27" t="n">
        <v>9.14</v>
      </c>
      <c r="AB7" s="27" t="n">
        <v>9.71</v>
      </c>
      <c r="AC7" s="27" t="n">
        <v>8.86</v>
      </c>
      <c r="AD7" s="27" t="n">
        <v>8.25</v>
      </c>
      <c r="AE7" s="27" t="n">
        <f aca="false">AVERAGE(Y7:AD7)</f>
        <v>8.87333333333333</v>
      </c>
      <c r="AF7" s="28" t="n">
        <v>9</v>
      </c>
      <c r="AG7" s="28" t="n">
        <v>9.28571428571429</v>
      </c>
      <c r="AH7" s="28" t="n">
        <v>9.14</v>
      </c>
      <c r="AI7" s="28" t="n">
        <v>9.571428571</v>
      </c>
      <c r="AJ7" s="28" t="n">
        <v>10.14</v>
      </c>
      <c r="AK7" s="29" t="n">
        <v>9.57142857142857</v>
      </c>
      <c r="AL7" s="28" t="n">
        <f aca="false">AVERAGE(AF7:AK7)</f>
        <v>9.45142857135714</v>
      </c>
      <c r="AM7" s="28" t="n">
        <v>10.57</v>
      </c>
      <c r="AN7" s="28" t="n">
        <v>9.86</v>
      </c>
      <c r="AO7" s="28" t="n">
        <v>10.14285714</v>
      </c>
      <c r="AP7" s="28"/>
      <c r="AQ7" s="28"/>
      <c r="AR7" s="29"/>
      <c r="AS7" s="29"/>
      <c r="AT7" s="28" t="n">
        <f aca="false">AVERAGE(AM7:AR7)</f>
        <v>10.19095238</v>
      </c>
      <c r="AU7" s="1" t="n">
        <f aca="false">COUNT(G7:U7)</f>
        <v>15</v>
      </c>
      <c r="AV7" s="1" t="str">
        <f aca="false">IF(AU7&lt;5,"Low coverage",IF(AU7&lt;15,"Partial","Full"))</f>
        <v>Full</v>
      </c>
    </row>
    <row r="8" customFormat="false" ht="15" hidden="false" customHeight="true" outlineLevel="0" collapsed="false">
      <c r="A8" s="21" t="n">
        <v>7</v>
      </c>
      <c r="B8" s="30" t="s">
        <v>162</v>
      </c>
      <c r="C8" s="22" t="s">
        <v>163</v>
      </c>
      <c r="D8" s="23" t="s">
        <v>168</v>
      </c>
      <c r="E8" s="25" t="s">
        <v>173</v>
      </c>
      <c r="F8" s="25" t="s">
        <v>166</v>
      </c>
      <c r="G8" s="26" t="n">
        <v>8.5</v>
      </c>
      <c r="H8" s="26" t="n">
        <v>9</v>
      </c>
      <c r="I8" s="26" t="n">
        <v>7.5</v>
      </c>
      <c r="J8" s="26" t="n">
        <v>8.5</v>
      </c>
      <c r="K8" s="26" t="n">
        <v>9</v>
      </c>
      <c r="L8" s="26" t="n">
        <v>9</v>
      </c>
      <c r="M8" s="26" t="n">
        <v>8.5</v>
      </c>
      <c r="N8" s="26" t="n">
        <v>13</v>
      </c>
      <c r="O8" s="26" t="n">
        <v>9</v>
      </c>
      <c r="P8" s="26" t="n">
        <v>7.5</v>
      </c>
      <c r="Q8" s="26" t="n">
        <v>6.5</v>
      </c>
      <c r="R8" s="26" t="n">
        <v>3.5</v>
      </c>
      <c r="S8" s="26" t="n">
        <v>6.5</v>
      </c>
      <c r="T8" s="26" t="n">
        <v>4</v>
      </c>
      <c r="U8" s="26" t="n">
        <v>6</v>
      </c>
      <c r="V8" s="26" t="n">
        <f aca="false">AVERAGE(G8:U8)</f>
        <v>7.73333333333333</v>
      </c>
      <c r="W8" s="26" t="n">
        <f aca="false">AVERAGE(I8:N8)</f>
        <v>9.25</v>
      </c>
      <c r="X8" s="26" t="n">
        <f aca="false">AVERAGE(O8:U8)</f>
        <v>6.14285714285714</v>
      </c>
      <c r="Y8" s="27" t="n">
        <v>3</v>
      </c>
      <c r="Z8" s="27" t="n">
        <v>4.5</v>
      </c>
      <c r="AA8" s="27" t="n">
        <v>2</v>
      </c>
      <c r="AB8" s="27" t="n">
        <v>2</v>
      </c>
      <c r="AC8" s="27" t="n">
        <v>7.33</v>
      </c>
      <c r="AD8" s="27" t="n">
        <v>6.66666666666667</v>
      </c>
      <c r="AE8" s="27" t="n">
        <f aca="false">AVERAGE(Y8:AD8)</f>
        <v>4.24944444444445</v>
      </c>
      <c r="AF8" s="28" t="n">
        <v>11.5</v>
      </c>
      <c r="AG8" s="28" t="n">
        <v>12.5</v>
      </c>
      <c r="AH8" s="28" t="n">
        <v>5.5</v>
      </c>
      <c r="AI8" s="28" t="n">
        <v>10.5</v>
      </c>
      <c r="AJ8" s="28" t="n">
        <v>9.5</v>
      </c>
      <c r="AK8" s="29" t="n">
        <v>10.5</v>
      </c>
      <c r="AL8" s="28" t="n">
        <f aca="false">AVERAGE(AF8:AK8)</f>
        <v>10</v>
      </c>
      <c r="AM8" s="28" t="n">
        <v>11</v>
      </c>
      <c r="AN8" s="28" t="n">
        <v>9</v>
      </c>
      <c r="AO8" s="28" t="n">
        <v>10</v>
      </c>
      <c r="AP8" s="28"/>
      <c r="AQ8" s="28"/>
      <c r="AR8" s="29"/>
      <c r="AS8" s="29"/>
      <c r="AT8" s="28" t="n">
        <f aca="false">AVERAGE(AM8:AR8)</f>
        <v>10</v>
      </c>
      <c r="AU8" s="1" t="n">
        <f aca="false">COUNT(G8:U8)</f>
        <v>15</v>
      </c>
      <c r="AV8" s="1" t="str">
        <f aca="false">IF(AU8&lt;5,"Low coverage",IF(AU8&lt;15,"Partial","Full"))</f>
        <v>Full</v>
      </c>
    </row>
    <row r="9" customFormat="false" ht="15" hidden="false" customHeight="true" outlineLevel="0" collapsed="false">
      <c r="A9" s="30" t="n">
        <v>8</v>
      </c>
      <c r="B9" s="30" t="s">
        <v>162</v>
      </c>
      <c r="C9" s="22" t="s">
        <v>163</v>
      </c>
      <c r="D9" s="23" t="s">
        <v>164</v>
      </c>
      <c r="E9" s="34" t="s">
        <v>174</v>
      </c>
      <c r="F9" s="25" t="s">
        <v>166</v>
      </c>
      <c r="G9" s="26" t="n">
        <v>4.5</v>
      </c>
      <c r="H9" s="26" t="n">
        <v>5</v>
      </c>
      <c r="I9" s="26" t="n">
        <v>3</v>
      </c>
      <c r="J9" s="26" t="n">
        <v>9</v>
      </c>
      <c r="K9" s="26" t="n">
        <v>3.42857142857143</v>
      </c>
      <c r="L9" s="26" t="n">
        <v>7.85714285714286</v>
      </c>
      <c r="M9" s="26" t="n">
        <v>5</v>
      </c>
      <c r="N9" s="26" t="n">
        <v>8.14285714285714</v>
      </c>
      <c r="O9" s="26" t="n">
        <v>8.375</v>
      </c>
      <c r="P9" s="26" t="n">
        <v>8.25</v>
      </c>
      <c r="Q9" s="26" t="n">
        <v>7.875</v>
      </c>
      <c r="R9" s="26" t="n">
        <v>9.75</v>
      </c>
      <c r="S9" s="26" t="n">
        <v>7.5</v>
      </c>
      <c r="T9" s="26" t="n">
        <v>4.87</v>
      </c>
      <c r="U9" s="26" t="n">
        <v>5.125</v>
      </c>
      <c r="V9" s="26" t="n">
        <f aca="false">AVERAGE(G9:U9)</f>
        <v>6.51157142857143</v>
      </c>
      <c r="W9" s="26" t="n">
        <f aca="false">AVERAGE(I9:N9)</f>
        <v>6.07142857142857</v>
      </c>
      <c r="X9" s="26" t="n">
        <f aca="false">AVERAGE(O9:U9)</f>
        <v>7.39214285714286</v>
      </c>
      <c r="Y9" s="27" t="n">
        <v>3.75</v>
      </c>
      <c r="Z9" s="27" t="n">
        <v>7.25</v>
      </c>
      <c r="AA9" s="27" t="n">
        <v>8.5</v>
      </c>
      <c r="AB9" s="27" t="n">
        <v>10.12</v>
      </c>
      <c r="AC9" s="27" t="n">
        <v>7.38</v>
      </c>
      <c r="AD9" s="27" t="n">
        <v>7.625</v>
      </c>
      <c r="AE9" s="27" t="n">
        <f aca="false">AVERAGE(Y9:AD9)</f>
        <v>7.4375</v>
      </c>
      <c r="AF9" s="28" t="n">
        <v>7.25</v>
      </c>
      <c r="AG9" s="28" t="n">
        <v>5.125</v>
      </c>
      <c r="AH9" s="28" t="n">
        <v>6.38</v>
      </c>
      <c r="AI9" s="28" t="n">
        <v>5.125</v>
      </c>
      <c r="AJ9" s="28" t="n">
        <v>4.88</v>
      </c>
      <c r="AK9" s="29" t="n">
        <v>6.125</v>
      </c>
      <c r="AL9" s="28" t="n">
        <f aca="false">AVERAGE(AF9:AK9)</f>
        <v>5.81416666666667</v>
      </c>
      <c r="AM9" s="28" t="n">
        <v>5.13</v>
      </c>
      <c r="AN9" s="28" t="n">
        <v>5.88</v>
      </c>
      <c r="AO9" s="28" t="n">
        <v>4.875</v>
      </c>
      <c r="AP9" s="28"/>
      <c r="AQ9" s="28"/>
      <c r="AR9" s="29"/>
      <c r="AS9" s="29"/>
      <c r="AT9" s="28" t="n">
        <f aca="false">AVERAGE(AM9:AR9)</f>
        <v>5.295</v>
      </c>
      <c r="AU9" s="1" t="n">
        <f aca="false">COUNT(G9:U9)</f>
        <v>15</v>
      </c>
      <c r="AV9" s="1" t="str">
        <f aca="false">IF(AU9&lt;5,"Low coverage",IF(AU9&lt;15,"Partial","Full"))</f>
        <v>Full</v>
      </c>
    </row>
    <row r="10" customFormat="false" ht="15" hidden="false" customHeight="true" outlineLevel="0" collapsed="false">
      <c r="A10" s="35" t="n">
        <v>9</v>
      </c>
      <c r="B10" s="36" t="s">
        <v>162</v>
      </c>
      <c r="C10" s="37" t="s">
        <v>163</v>
      </c>
      <c r="D10" s="38" t="s">
        <v>164</v>
      </c>
      <c r="E10" s="39" t="s">
        <v>175</v>
      </c>
      <c r="F10" s="39" t="s">
        <v>176</v>
      </c>
      <c r="G10" s="40" t="n">
        <v>7.85714285714286</v>
      </c>
      <c r="H10" s="40" t="n">
        <v>7.14285714285714</v>
      </c>
      <c r="I10" s="40" t="n">
        <v>6.375</v>
      </c>
      <c r="J10" s="40" t="n">
        <v>5.375</v>
      </c>
      <c r="K10" s="40" t="n">
        <v>5.625</v>
      </c>
      <c r="L10" s="40" t="n">
        <v>5.5</v>
      </c>
      <c r="M10" s="40" t="n">
        <v>4.30769230769231</v>
      </c>
      <c r="N10" s="40" t="n">
        <v>5.84615384615385</v>
      </c>
      <c r="O10" s="40" t="n">
        <v>6.92307692307692</v>
      </c>
      <c r="P10" s="40" t="n">
        <v>8</v>
      </c>
      <c r="Q10" s="40" t="n">
        <v>9.07692307692308</v>
      </c>
      <c r="R10" s="40" t="n">
        <v>8.461538462</v>
      </c>
      <c r="S10" s="40" t="n">
        <v>7.85</v>
      </c>
      <c r="T10" s="40" t="n">
        <v>7.69</v>
      </c>
      <c r="U10" s="40" t="n">
        <v>6.92307692307692</v>
      </c>
      <c r="V10" s="40" t="n">
        <f aca="false">AVERAGE(G10:U10)</f>
        <v>6.86356410259487</v>
      </c>
      <c r="W10" s="40" t="n">
        <f aca="false">AVERAGE(I10:N10)</f>
        <v>5.50480769230769</v>
      </c>
      <c r="X10" s="40" t="n">
        <f aca="false">AVERAGE(O10:U10)</f>
        <v>7.84637362643956</v>
      </c>
      <c r="Y10" s="41"/>
      <c r="Z10" s="41"/>
      <c r="AA10" s="41"/>
      <c r="AB10" s="41"/>
      <c r="AC10" s="41"/>
      <c r="AD10" s="41"/>
      <c r="AE10" s="41"/>
      <c r="AF10" s="42"/>
      <c r="AG10" s="42"/>
      <c r="AH10" s="42"/>
      <c r="AI10" s="42"/>
      <c r="AJ10" s="42"/>
      <c r="AK10" s="43"/>
      <c r="AL10" s="42"/>
      <c r="AM10" s="42"/>
      <c r="AN10" s="42"/>
      <c r="AO10" s="42"/>
      <c r="AP10" s="42"/>
      <c r="AQ10" s="42"/>
      <c r="AR10" s="43"/>
      <c r="AS10" s="43"/>
      <c r="AT10" s="42"/>
      <c r="AU10" s="44" t="n">
        <f aca="false">COUNT(G10:U10)</f>
        <v>15</v>
      </c>
      <c r="AV10" s="44" t="str">
        <f aca="false">IF(AU10&lt;5,"Low coverage",IF(AU10&lt;15,"Partial","Full"))</f>
        <v>Full</v>
      </c>
      <c r="AW10" s="44" t="s">
        <v>177</v>
      </c>
    </row>
    <row r="11" customFormat="false" ht="15" hidden="false" customHeight="true" outlineLevel="0" collapsed="false">
      <c r="A11" s="30" t="n">
        <v>10</v>
      </c>
      <c r="B11" s="30" t="s">
        <v>162</v>
      </c>
      <c r="C11" s="22" t="s">
        <v>163</v>
      </c>
      <c r="D11" s="23" t="s">
        <v>164</v>
      </c>
      <c r="E11" s="34" t="s">
        <v>178</v>
      </c>
      <c r="F11" s="25" t="s">
        <v>166</v>
      </c>
      <c r="G11" s="26" t="n">
        <v>3.6</v>
      </c>
      <c r="H11" s="26" t="n">
        <v>5.2</v>
      </c>
      <c r="I11" s="26" t="n">
        <v>7.73333333333333</v>
      </c>
      <c r="J11" s="26" t="n">
        <v>5.73333333333333</v>
      </c>
      <c r="K11" s="26" t="n">
        <v>6</v>
      </c>
      <c r="L11" s="26" t="n">
        <v>6.26666666666667</v>
      </c>
      <c r="M11" s="26" t="n">
        <v>6.22222222222222</v>
      </c>
      <c r="N11" s="26" t="n">
        <v>4.88888888888889</v>
      </c>
      <c r="O11" s="26" t="n">
        <v>6.22222222222222</v>
      </c>
      <c r="P11" s="26" t="n">
        <v>7.11111111111111</v>
      </c>
      <c r="Q11" s="26" t="n">
        <v>8.66666666666667</v>
      </c>
      <c r="R11" s="26" t="n">
        <v>10.444444</v>
      </c>
      <c r="S11" s="26" t="n">
        <v>7.33</v>
      </c>
      <c r="T11" s="26" t="n">
        <v>6</v>
      </c>
      <c r="U11" s="26" t="n">
        <v>6.44444444444445</v>
      </c>
      <c r="V11" s="26" t="n">
        <f aca="false">AVERAGE(G11:U11)</f>
        <v>6.52422219259259</v>
      </c>
      <c r="W11" s="26" t="n">
        <f aca="false">AVERAGE(I11:N11)</f>
        <v>6.14074074074074</v>
      </c>
      <c r="X11" s="26" t="n">
        <f aca="false">AVERAGE(O11:U11)</f>
        <v>7.45984120634921</v>
      </c>
      <c r="Y11" s="27" t="n">
        <v>3.38</v>
      </c>
      <c r="Z11" s="27" t="n">
        <v>7.75</v>
      </c>
      <c r="AA11" s="27" t="n">
        <v>8.25</v>
      </c>
      <c r="AB11" s="27" t="n">
        <v>7.12</v>
      </c>
      <c r="AC11" s="27" t="n">
        <v>9.88</v>
      </c>
      <c r="AD11" s="27" t="n">
        <v>9.375</v>
      </c>
      <c r="AE11" s="27" t="n">
        <f aca="false">AVERAGE(Y11:AD11)</f>
        <v>7.62583333333333</v>
      </c>
      <c r="AF11" s="28" t="n">
        <v>7.375</v>
      </c>
      <c r="AG11" s="28" t="n">
        <v>8.25</v>
      </c>
      <c r="AH11" s="28" t="n">
        <v>8.75</v>
      </c>
      <c r="AI11" s="28" t="n">
        <v>9.375</v>
      </c>
      <c r="AJ11" s="28" t="n">
        <v>6.38</v>
      </c>
      <c r="AK11" s="29" t="n">
        <v>4.75</v>
      </c>
      <c r="AL11" s="28" t="n">
        <f aca="false">AVERAGE(AF11:AK11)</f>
        <v>7.48</v>
      </c>
      <c r="AM11" s="28" t="n">
        <v>5.25</v>
      </c>
      <c r="AN11" s="28" t="n">
        <v>5.38</v>
      </c>
      <c r="AO11" s="28" t="n">
        <v>5.5</v>
      </c>
      <c r="AP11" s="28"/>
      <c r="AQ11" s="28"/>
      <c r="AR11" s="29"/>
      <c r="AS11" s="29"/>
      <c r="AT11" s="28" t="n">
        <f aca="false">AVERAGE(AM11:AR11)</f>
        <v>5.37666666666667</v>
      </c>
      <c r="AU11" s="1" t="n">
        <f aca="false">COUNT(G11:U11)</f>
        <v>15</v>
      </c>
      <c r="AV11" s="1" t="str">
        <f aca="false">IF(AU11&lt;5,"Low coverage",IF(AU11&lt;15,"Partial","Full"))</f>
        <v>Full</v>
      </c>
    </row>
    <row r="12" customFormat="false" ht="15" hidden="false" customHeight="true" outlineLevel="0" collapsed="false">
      <c r="A12" s="21" t="n">
        <v>11</v>
      </c>
      <c r="B12" s="30" t="s">
        <v>162</v>
      </c>
      <c r="C12" s="22" t="s">
        <v>163</v>
      </c>
      <c r="D12" s="23" t="s">
        <v>164</v>
      </c>
      <c r="E12" s="34" t="s">
        <v>179</v>
      </c>
      <c r="F12" s="25" t="s">
        <v>166</v>
      </c>
      <c r="G12" s="26" t="n">
        <v>1.69230769230769</v>
      </c>
      <c r="H12" s="26" t="n">
        <v>6.30769230769231</v>
      </c>
      <c r="I12" s="26" t="n">
        <v>3.07692307692308</v>
      </c>
      <c r="J12" s="26" t="n">
        <v>2.46153846153846</v>
      </c>
      <c r="K12" s="26" t="n">
        <v>6.46153846153846</v>
      </c>
      <c r="L12" s="26" t="n">
        <v>3.38461538461538</v>
      </c>
      <c r="M12" s="26" t="n">
        <v>4.46153846153846</v>
      </c>
      <c r="N12" s="26" t="n">
        <v>5.53846153846154</v>
      </c>
      <c r="O12" s="26" t="n">
        <v>7.07692307692308</v>
      </c>
      <c r="P12" s="26" t="n">
        <v>6.30769230769231</v>
      </c>
      <c r="Q12" s="26" t="n">
        <v>3.07692307692308</v>
      </c>
      <c r="R12" s="26" t="n">
        <v>7.076923077</v>
      </c>
      <c r="S12" s="26" t="n">
        <v>5.69</v>
      </c>
      <c r="T12" s="26" t="n">
        <v>6.5</v>
      </c>
      <c r="U12" s="26" t="n">
        <v>4</v>
      </c>
      <c r="V12" s="26" t="n">
        <f aca="false">AVERAGE(G12:U12)</f>
        <v>4.87420512821026</v>
      </c>
      <c r="W12" s="26" t="n">
        <f aca="false">AVERAGE(I12:N12)</f>
        <v>4.23076923076923</v>
      </c>
      <c r="X12" s="26" t="n">
        <f aca="false">AVERAGE(O12:U12)</f>
        <v>5.6754945055055</v>
      </c>
      <c r="Y12" s="27" t="n">
        <v>6.92</v>
      </c>
      <c r="Z12" s="27" t="n">
        <v>7.5</v>
      </c>
      <c r="AA12" s="27" t="n">
        <v>6.29</v>
      </c>
      <c r="AB12" s="27" t="n">
        <v>7.85</v>
      </c>
      <c r="AC12" s="27" t="n">
        <v>6.31</v>
      </c>
      <c r="AD12" s="27" t="n">
        <v>7.23076923076923</v>
      </c>
      <c r="AE12" s="27" t="n">
        <f aca="false">AVERAGE(Y12:AD12)</f>
        <v>7.01679487179487</v>
      </c>
      <c r="AF12" s="28" t="n">
        <v>5.84615384615385</v>
      </c>
      <c r="AG12" s="28" t="n">
        <v>5.84615384615385</v>
      </c>
      <c r="AH12" s="28" t="n">
        <v>5.69</v>
      </c>
      <c r="AI12" s="28" t="n">
        <v>9.08</v>
      </c>
      <c r="AJ12" s="28" t="n">
        <v>8.17</v>
      </c>
      <c r="AK12" s="29" t="n">
        <v>9</v>
      </c>
      <c r="AL12" s="28" t="n">
        <f aca="false">AVERAGE(AF12:AK12)</f>
        <v>7.27205128205128</v>
      </c>
      <c r="AM12" s="28" t="n">
        <v>5.82</v>
      </c>
      <c r="AN12" s="28" t="n">
        <v>9</v>
      </c>
      <c r="AO12" s="28" t="n">
        <v>8.73</v>
      </c>
      <c r="AP12" s="28"/>
      <c r="AQ12" s="28"/>
      <c r="AR12" s="29"/>
      <c r="AS12" s="29"/>
      <c r="AT12" s="28" t="n">
        <f aca="false">AVERAGE(AM12:AR12)</f>
        <v>7.85</v>
      </c>
      <c r="AU12" s="1" t="n">
        <f aca="false">COUNT(G12:U12)</f>
        <v>15</v>
      </c>
      <c r="AV12" s="1" t="str">
        <f aca="false">IF(AU12&lt;5,"Low coverage",IF(AU12&lt;15,"Partial","Full"))</f>
        <v>Full</v>
      </c>
    </row>
    <row r="13" customFormat="false" ht="15" hidden="false" customHeight="true" outlineLevel="0" collapsed="false">
      <c r="A13" s="30" t="n">
        <v>12</v>
      </c>
      <c r="B13" s="30" t="s">
        <v>162</v>
      </c>
      <c r="C13" s="22" t="s">
        <v>163</v>
      </c>
      <c r="D13" s="23" t="s">
        <v>164</v>
      </c>
      <c r="E13" s="34" t="s">
        <v>180</v>
      </c>
      <c r="F13" s="25" t="s">
        <v>166</v>
      </c>
      <c r="G13" s="26" t="n">
        <v>3.69230769230769</v>
      </c>
      <c r="H13" s="26" t="n">
        <v>10.3076923076923</v>
      </c>
      <c r="I13" s="26" t="n">
        <v>5.33333333333333</v>
      </c>
      <c r="J13" s="26" t="n">
        <v>1.86666666666667</v>
      </c>
      <c r="K13" s="26" t="n">
        <v>3.33333333333333</v>
      </c>
      <c r="L13" s="26" t="n">
        <v>3.33333333333333</v>
      </c>
      <c r="M13" s="26" t="n">
        <v>4.26666666666667</v>
      </c>
      <c r="N13" s="26" t="n">
        <v>4.66666666666667</v>
      </c>
      <c r="O13" s="26" t="n">
        <v>5.2</v>
      </c>
      <c r="P13" s="26" t="n">
        <v>2.8</v>
      </c>
      <c r="Q13" s="26" t="n">
        <v>3.86666666666667</v>
      </c>
      <c r="R13" s="26" t="n">
        <v>5.066666667</v>
      </c>
      <c r="S13" s="26" t="n">
        <v>4.26</v>
      </c>
      <c r="T13" s="26" t="n">
        <v>4.5</v>
      </c>
      <c r="U13" s="26" t="n">
        <v>3.86666666666667</v>
      </c>
      <c r="V13" s="26" t="n">
        <f aca="false">AVERAGE(G13:U13)</f>
        <v>4.42400000002222</v>
      </c>
      <c r="W13" s="26" t="n">
        <f aca="false">AVERAGE(I13:N13)</f>
        <v>3.8</v>
      </c>
      <c r="X13" s="26" t="n">
        <f aca="false">AVERAGE(O13:U13)</f>
        <v>4.22285714290476</v>
      </c>
      <c r="Y13" s="27" t="n">
        <v>6.13</v>
      </c>
      <c r="Z13" s="45" t="n">
        <v>4.9</v>
      </c>
      <c r="AA13" s="45" t="n">
        <v>6</v>
      </c>
      <c r="AB13" s="45" t="n">
        <v>7.83</v>
      </c>
      <c r="AC13" s="45" t="n">
        <v>4.33</v>
      </c>
      <c r="AD13" s="45" t="n">
        <v>7.83333333333333</v>
      </c>
      <c r="AE13" s="27" t="n">
        <f aca="false">AVERAGE(Y13:AD13)</f>
        <v>6.17055555555556</v>
      </c>
      <c r="AF13" s="28" t="n">
        <v>6.83333333333333</v>
      </c>
      <c r="AG13" s="28" t="n">
        <v>6.08333333333333</v>
      </c>
      <c r="AH13" s="28" t="n">
        <v>4.46</v>
      </c>
      <c r="AI13" s="28" t="n">
        <v>7.846153846</v>
      </c>
      <c r="AJ13" s="28" t="n">
        <v>7.85714285714286</v>
      </c>
      <c r="AK13" s="29" t="n">
        <v>6.57142857142857</v>
      </c>
      <c r="AL13" s="28" t="n">
        <f aca="false">AVERAGE(AF13:AK13)</f>
        <v>6.60856532353968</v>
      </c>
      <c r="AM13" s="46"/>
      <c r="AN13" s="46"/>
      <c r="AO13" s="46"/>
      <c r="AP13" s="46"/>
      <c r="AQ13" s="46"/>
      <c r="AR13" s="29"/>
      <c r="AS13" s="29"/>
      <c r="AT13" s="28"/>
      <c r="AU13" s="1" t="n">
        <f aca="false">COUNT(G13:U13)</f>
        <v>15</v>
      </c>
      <c r="AV13" s="1" t="str">
        <f aca="false">IF(AU13&lt;5,"Low coverage",IF(AU13&lt;15,"Partial","Full"))</f>
        <v>Full</v>
      </c>
    </row>
    <row r="14" customFormat="false" ht="15" hidden="false" customHeight="true" outlineLevel="0" collapsed="false">
      <c r="A14" s="21" t="n">
        <v>13</v>
      </c>
      <c r="B14" s="30" t="s">
        <v>162</v>
      </c>
      <c r="C14" s="47" t="s">
        <v>181</v>
      </c>
      <c r="D14" s="48" t="s">
        <v>182</v>
      </c>
      <c r="E14" s="49" t="s">
        <v>183</v>
      </c>
      <c r="F14" s="25" t="s">
        <v>166</v>
      </c>
      <c r="G14" s="50" t="n">
        <v>9.53488372093023</v>
      </c>
      <c r="H14" s="50" t="n">
        <v>6.74418604651163</v>
      </c>
      <c r="I14" s="50" t="n">
        <v>8.11764705882353</v>
      </c>
      <c r="J14" s="50" t="n">
        <v>7.8</v>
      </c>
      <c r="K14" s="50" t="n">
        <v>8.9</v>
      </c>
      <c r="L14" s="50" t="n">
        <v>8.3</v>
      </c>
      <c r="M14" s="50" t="n">
        <v>8.2</v>
      </c>
      <c r="N14" s="50" t="n">
        <v>10.8</v>
      </c>
      <c r="O14" s="50" t="n">
        <v>5.9</v>
      </c>
      <c r="P14" s="50" t="n">
        <v>9.1</v>
      </c>
      <c r="Q14" s="50" t="n">
        <v>6.6</v>
      </c>
      <c r="R14" s="27" t="n">
        <v>7.4117</v>
      </c>
      <c r="S14" s="27" t="n">
        <v>8</v>
      </c>
      <c r="T14" s="27" t="n">
        <v>6.9</v>
      </c>
      <c r="U14" s="27" t="n">
        <v>6.35294117647059</v>
      </c>
      <c r="V14" s="26" t="n">
        <f aca="false">AVERAGE(G14:U14)</f>
        <v>7.9107572001824</v>
      </c>
      <c r="W14" s="26" t="n">
        <f aca="false">AVERAGE(I14:N14)</f>
        <v>8.68627450980392</v>
      </c>
      <c r="X14" s="26" t="n">
        <f aca="false">AVERAGE(O14:U14)</f>
        <v>7.18066302521009</v>
      </c>
      <c r="Y14" s="27" t="n">
        <v>7.41</v>
      </c>
      <c r="Z14" s="27" t="n">
        <v>5.1</v>
      </c>
      <c r="AA14" s="27" t="n">
        <v>11.1</v>
      </c>
      <c r="AB14" s="27" t="n">
        <v>9.7</v>
      </c>
      <c r="AC14" s="27" t="n">
        <v>7.29</v>
      </c>
      <c r="AD14" s="27" t="n">
        <v>6</v>
      </c>
      <c r="AE14" s="27" t="n">
        <f aca="false">AVERAGE(Y14:AD14)</f>
        <v>7.76666666666667</v>
      </c>
      <c r="AF14" s="28" t="n">
        <v>7.8</v>
      </c>
      <c r="AG14" s="28" t="n">
        <v>9.6</v>
      </c>
      <c r="AH14" s="28" t="n">
        <v>7.4</v>
      </c>
      <c r="AI14" s="28" t="n">
        <v>13.4</v>
      </c>
      <c r="AJ14" s="28" t="n">
        <v>5</v>
      </c>
      <c r="AK14" s="29" t="n">
        <v>7.33333333333333</v>
      </c>
      <c r="AL14" s="28" t="n">
        <f aca="false">AVERAGE(AF14:AK14)</f>
        <v>8.42222222222222</v>
      </c>
      <c r="AM14" s="28" t="n">
        <v>5.83</v>
      </c>
      <c r="AN14" s="28" t="n">
        <v>8.5</v>
      </c>
      <c r="AO14" s="28" t="n">
        <v>10</v>
      </c>
      <c r="AP14" s="28"/>
      <c r="AQ14" s="28"/>
      <c r="AR14" s="29"/>
      <c r="AS14" s="29"/>
      <c r="AT14" s="28" t="n">
        <f aca="false">AVERAGE(AM14:AR14)</f>
        <v>8.11</v>
      </c>
      <c r="AU14" s="1" t="n">
        <f aca="false">COUNT(G14:U14)</f>
        <v>15</v>
      </c>
      <c r="AV14" s="1" t="str">
        <f aca="false">IF(AU14&lt;5,"Low coverage",IF(AU14&lt;15,"Partial","Full"))</f>
        <v>Full</v>
      </c>
    </row>
    <row r="15" customFormat="false" ht="15" hidden="false" customHeight="true" outlineLevel="0" collapsed="false">
      <c r="A15" s="30" t="n">
        <v>14</v>
      </c>
      <c r="B15" s="30" t="s">
        <v>162</v>
      </c>
      <c r="C15" s="47" t="s">
        <v>181</v>
      </c>
      <c r="D15" s="48" t="s">
        <v>182</v>
      </c>
      <c r="E15" s="49" t="s">
        <v>184</v>
      </c>
      <c r="F15" s="25" t="s">
        <v>166</v>
      </c>
      <c r="G15" s="27"/>
      <c r="H15" s="27"/>
      <c r="I15" s="27"/>
      <c r="J15" s="50" t="n">
        <v>6.6</v>
      </c>
      <c r="K15" s="50" t="n">
        <v>4.9</v>
      </c>
      <c r="L15" s="50" t="n">
        <v>5.7</v>
      </c>
      <c r="M15" s="50" t="n">
        <v>4</v>
      </c>
      <c r="N15" s="50" t="n">
        <v>5.7</v>
      </c>
      <c r="O15" s="50" t="n">
        <v>7.7</v>
      </c>
      <c r="P15" s="50" t="n">
        <v>5.7</v>
      </c>
      <c r="Q15" s="50" t="n">
        <v>2.9</v>
      </c>
      <c r="R15" s="27" t="n">
        <v>4.5714</v>
      </c>
      <c r="S15" s="27" t="n">
        <v>6</v>
      </c>
      <c r="T15" s="27" t="n">
        <v>3.3</v>
      </c>
      <c r="U15" s="27" t="n">
        <v>8</v>
      </c>
      <c r="V15" s="26" t="n">
        <f aca="false">AVERAGE(G15:U15)</f>
        <v>5.42261666666667</v>
      </c>
      <c r="W15" s="26" t="n">
        <f aca="false">AVERAGE(I15:N15)</f>
        <v>5.38</v>
      </c>
      <c r="X15" s="26" t="n">
        <f aca="false">AVERAGE(O15:U15)</f>
        <v>5.45305714285714</v>
      </c>
      <c r="Y15" s="27" t="n">
        <v>2</v>
      </c>
      <c r="Z15" s="27" t="n">
        <v>5.3</v>
      </c>
      <c r="AA15" s="27" t="n">
        <v>5.3</v>
      </c>
      <c r="AB15" s="27" t="n">
        <v>7</v>
      </c>
      <c r="AC15" s="27" t="n">
        <v>6.29</v>
      </c>
      <c r="AD15" s="27" t="n">
        <v>4.85714285714286</v>
      </c>
      <c r="AE15" s="27" t="n">
        <f aca="false">AVERAGE(Y15:AD15)</f>
        <v>5.12452380952381</v>
      </c>
      <c r="AF15" s="28" t="n">
        <v>9.2</v>
      </c>
      <c r="AG15" s="28" t="n">
        <v>8.4</v>
      </c>
      <c r="AH15" s="28" t="n">
        <v>5.33</v>
      </c>
      <c r="AI15" s="28" t="n">
        <v>8</v>
      </c>
      <c r="AJ15" s="28" t="n">
        <v>6.8</v>
      </c>
      <c r="AK15" s="29" t="n">
        <v>10.8</v>
      </c>
      <c r="AL15" s="28" t="n">
        <f aca="false">AVERAGE(AF15:AK15)</f>
        <v>8.08833333333333</v>
      </c>
      <c r="AM15" s="28" t="n">
        <v>10</v>
      </c>
      <c r="AN15" s="28" t="n">
        <v>8.7</v>
      </c>
      <c r="AO15" s="28" t="n">
        <v>8.4</v>
      </c>
      <c r="AP15" s="28"/>
      <c r="AQ15" s="28"/>
      <c r="AR15" s="29"/>
      <c r="AS15" s="29"/>
      <c r="AT15" s="28" t="n">
        <f aca="false">AVERAGE(AM15:AR15)</f>
        <v>9.03333333333333</v>
      </c>
      <c r="AU15" s="1" t="n">
        <f aca="false">COUNT(G15:U15)</f>
        <v>12</v>
      </c>
      <c r="AV15" s="1" t="str">
        <f aca="false">IF(AU15&lt;5,"Low coverage",IF(AU15&lt;15,"Partial","Full"))</f>
        <v>Partial</v>
      </c>
    </row>
    <row r="16" customFormat="false" ht="15" hidden="false" customHeight="true" outlineLevel="0" collapsed="false">
      <c r="A16" s="21" t="n">
        <v>15</v>
      </c>
      <c r="B16" s="30" t="s">
        <v>162</v>
      </c>
      <c r="C16" s="47" t="s">
        <v>181</v>
      </c>
      <c r="D16" s="48" t="s">
        <v>182</v>
      </c>
      <c r="E16" s="49" t="s">
        <v>185</v>
      </c>
      <c r="F16" s="25" t="s">
        <v>166</v>
      </c>
      <c r="G16" s="50" t="n">
        <v>9.44444444444445</v>
      </c>
      <c r="H16" s="50" t="n">
        <v>11.9444444444444</v>
      </c>
      <c r="I16" s="50" t="n">
        <v>7.75</v>
      </c>
      <c r="J16" s="50" t="n">
        <v>9.5</v>
      </c>
      <c r="K16" s="50" t="n">
        <v>8.5</v>
      </c>
      <c r="L16" s="50" t="n">
        <v>8.25</v>
      </c>
      <c r="M16" s="50" t="n">
        <v>7</v>
      </c>
      <c r="N16" s="50" t="n">
        <v>9.5</v>
      </c>
      <c r="O16" s="50" t="n">
        <v>7</v>
      </c>
      <c r="P16" s="50" t="n">
        <v>10.75</v>
      </c>
      <c r="Q16" s="50" t="n">
        <v>7.8</v>
      </c>
      <c r="R16" s="27" t="n">
        <v>9</v>
      </c>
      <c r="S16" s="27" t="n">
        <v>13.65</v>
      </c>
      <c r="T16" s="27" t="n">
        <v>9</v>
      </c>
      <c r="U16" s="27" t="n">
        <v>3.75</v>
      </c>
      <c r="V16" s="26" t="n">
        <f aca="false">AVERAGE(G16:U16)</f>
        <v>8.85592592592592</v>
      </c>
      <c r="W16" s="26" t="n">
        <f aca="false">AVERAGE(I16:N16)</f>
        <v>8.41666666666667</v>
      </c>
      <c r="X16" s="26" t="n">
        <f aca="false">AVERAGE(O16:U16)</f>
        <v>8.70714285714286</v>
      </c>
      <c r="Y16" s="27" t="n">
        <v>10</v>
      </c>
      <c r="Z16" s="27" t="n">
        <v>7</v>
      </c>
      <c r="AA16" s="27" t="n">
        <v>8.8</v>
      </c>
      <c r="AB16" s="27" t="n">
        <v>5.8</v>
      </c>
      <c r="AC16" s="27" t="n">
        <v>8.25</v>
      </c>
      <c r="AD16" s="27" t="n">
        <v>4.5</v>
      </c>
      <c r="AE16" s="27" t="n">
        <f aca="false">AVERAGE(Y16:AD16)</f>
        <v>7.39166666666667</v>
      </c>
      <c r="AF16" s="28" t="n">
        <v>8.5</v>
      </c>
      <c r="AG16" s="28" t="n">
        <v>6</v>
      </c>
      <c r="AH16" s="28" t="n">
        <v>5.5</v>
      </c>
      <c r="AI16" s="28" t="n">
        <v>4.5</v>
      </c>
      <c r="AJ16" s="28" t="n">
        <v>5.5</v>
      </c>
      <c r="AK16" s="29" t="n">
        <v>5.25</v>
      </c>
      <c r="AL16" s="28" t="n">
        <f aca="false">AVERAGE(AF16:AK16)</f>
        <v>5.875</v>
      </c>
      <c r="AM16" s="28" t="n">
        <v>5.5</v>
      </c>
      <c r="AN16" s="28"/>
      <c r="AO16" s="28"/>
      <c r="AP16" s="28"/>
      <c r="AQ16" s="28"/>
      <c r="AR16" s="29"/>
      <c r="AS16" s="29"/>
      <c r="AT16" s="28" t="n">
        <f aca="false">AVERAGE(AM16:AR16)</f>
        <v>5.5</v>
      </c>
      <c r="AU16" s="1" t="n">
        <f aca="false">COUNT(G16:U16)</f>
        <v>15</v>
      </c>
      <c r="AV16" s="1" t="str">
        <f aca="false">IF(AU16&lt;5,"Low coverage",IF(AU16&lt;15,"Partial","Full"))</f>
        <v>Full</v>
      </c>
    </row>
    <row r="17" customFormat="false" ht="15" hidden="false" customHeight="true" outlineLevel="0" collapsed="false">
      <c r="A17" s="30" t="n">
        <v>16</v>
      </c>
      <c r="B17" s="30" t="s">
        <v>162</v>
      </c>
      <c r="C17" s="47" t="s">
        <v>181</v>
      </c>
      <c r="D17" s="48" t="s">
        <v>182</v>
      </c>
      <c r="E17" s="49" t="s">
        <v>186</v>
      </c>
      <c r="F17" s="25" t="s">
        <v>166</v>
      </c>
      <c r="G17" s="50" t="n">
        <v>9.3</v>
      </c>
      <c r="H17" s="50" t="n">
        <v>8.8</v>
      </c>
      <c r="I17" s="50" t="n">
        <v>8.5</v>
      </c>
      <c r="J17" s="50" t="n">
        <v>9.1</v>
      </c>
      <c r="K17" s="50" t="n">
        <v>9.2</v>
      </c>
      <c r="L17" s="50" t="n">
        <v>7.9</v>
      </c>
      <c r="M17" s="50" t="n">
        <v>7.8</v>
      </c>
      <c r="N17" s="50" t="n">
        <v>8.8</v>
      </c>
      <c r="O17" s="50" t="n">
        <v>6.2</v>
      </c>
      <c r="P17" s="50" t="n">
        <v>7.2</v>
      </c>
      <c r="Q17" s="50" t="n">
        <v>9.1</v>
      </c>
      <c r="R17" s="27" t="n">
        <v>8.8</v>
      </c>
      <c r="S17" s="27" t="n">
        <v>9</v>
      </c>
      <c r="T17" s="27" t="n">
        <v>8.9</v>
      </c>
      <c r="U17" s="27" t="n">
        <v>7.6</v>
      </c>
      <c r="V17" s="26" t="n">
        <f aca="false">AVERAGE(G17:U17)</f>
        <v>8.41333333333333</v>
      </c>
      <c r="W17" s="26" t="n">
        <f aca="false">AVERAGE(I17:N17)</f>
        <v>8.55</v>
      </c>
      <c r="X17" s="26" t="n">
        <f aca="false">AVERAGE(O17:U17)</f>
        <v>8.11428571428571</v>
      </c>
      <c r="Y17" s="27" t="n">
        <v>6.6</v>
      </c>
      <c r="Z17" s="27" t="n">
        <v>7.9</v>
      </c>
      <c r="AA17" s="27" t="n">
        <v>8.8</v>
      </c>
      <c r="AB17" s="27" t="n">
        <v>8.8</v>
      </c>
      <c r="AC17" s="27" t="n">
        <v>8.2</v>
      </c>
      <c r="AD17" s="27"/>
      <c r="AE17" s="27" t="n">
        <f aca="false">AVERAGE(Y17:AD17)</f>
        <v>8.06</v>
      </c>
      <c r="AF17" s="51" t="n">
        <v>0.89</v>
      </c>
      <c r="AG17" s="28" t="n">
        <v>6.2</v>
      </c>
      <c r="AH17" s="28" t="n">
        <v>5.8</v>
      </c>
      <c r="AI17" s="28" t="s">
        <v>187</v>
      </c>
      <c r="AJ17" s="28"/>
      <c r="AK17" s="29"/>
      <c r="AL17" s="28" t="n">
        <f aca="false">AVERAGE(AF17:AK17)</f>
        <v>4.29666666666667</v>
      </c>
      <c r="AM17" s="51"/>
      <c r="AN17" s="28"/>
      <c r="AO17" s="28"/>
      <c r="AP17" s="28"/>
      <c r="AQ17" s="28"/>
      <c r="AR17" s="29"/>
      <c r="AS17" s="29"/>
      <c r="AT17" s="28"/>
      <c r="AU17" s="1" t="n">
        <f aca="false">COUNT(G17:U17)</f>
        <v>15</v>
      </c>
      <c r="AV17" s="1" t="str">
        <f aca="false">IF(AU17&lt;5,"Low coverage",IF(AU17&lt;15,"Partial","Full"))</f>
        <v>Full</v>
      </c>
    </row>
    <row r="18" customFormat="false" ht="21.75" hidden="false" customHeight="true" outlineLevel="0" collapsed="false">
      <c r="A18" s="21" t="n">
        <v>17</v>
      </c>
      <c r="B18" s="30" t="s">
        <v>162</v>
      </c>
      <c r="C18" s="47" t="s">
        <v>188</v>
      </c>
      <c r="D18" s="23" t="s">
        <v>189</v>
      </c>
      <c r="E18" s="52" t="s">
        <v>190</v>
      </c>
      <c r="F18" s="25" t="s">
        <v>166</v>
      </c>
      <c r="G18" s="27" t="n">
        <v>5.33333333333333</v>
      </c>
      <c r="H18" s="27" t="n">
        <v>4</v>
      </c>
      <c r="I18" s="27" t="n">
        <v>2.63636363636364</v>
      </c>
      <c r="J18" s="27" t="n">
        <v>3.81818181818182</v>
      </c>
      <c r="K18" s="27" t="n">
        <v>4.72727272727273</v>
      </c>
      <c r="L18" s="27" t="n">
        <v>5.18181818181818</v>
      </c>
      <c r="M18" s="27" t="n">
        <v>3.9</v>
      </c>
      <c r="N18" s="27" t="n">
        <v>5</v>
      </c>
      <c r="O18" s="27" t="n">
        <v>5.2</v>
      </c>
      <c r="P18" s="27" t="n">
        <v>5.5</v>
      </c>
      <c r="Q18" s="27" t="n">
        <v>5.4</v>
      </c>
      <c r="R18" s="27" t="n">
        <v>5.2</v>
      </c>
      <c r="S18" s="27" t="n">
        <v>5.9</v>
      </c>
      <c r="T18" s="27" t="n">
        <v>5.9</v>
      </c>
      <c r="U18" s="27" t="n">
        <v>5.4</v>
      </c>
      <c r="V18" s="26" t="n">
        <f aca="false">AVERAGE(G18:U18)</f>
        <v>4.87313131313131</v>
      </c>
      <c r="W18" s="26" t="n">
        <f aca="false">AVERAGE(I18:N18)</f>
        <v>4.21060606060606</v>
      </c>
      <c r="X18" s="26" t="n">
        <f aca="false">AVERAGE(O18:U18)</f>
        <v>5.5</v>
      </c>
      <c r="Y18" s="27" t="n">
        <v>4.9</v>
      </c>
      <c r="Z18" s="27" t="n">
        <v>5.6</v>
      </c>
      <c r="AA18" s="27" t="n">
        <v>5.36</v>
      </c>
      <c r="AB18" s="27" t="n">
        <v>6.81</v>
      </c>
      <c r="AC18" s="27" t="n">
        <v>6</v>
      </c>
      <c r="AD18" s="27" t="n">
        <v>6.54545454545455</v>
      </c>
      <c r="AE18" s="27" t="n">
        <f aca="false">AVERAGE(Y18:AD18)</f>
        <v>5.86924242424243</v>
      </c>
      <c r="AF18" s="28" t="n">
        <v>6.4</v>
      </c>
      <c r="AG18" s="28" t="n">
        <v>6.7</v>
      </c>
      <c r="AH18" s="28" t="n">
        <v>5.8</v>
      </c>
      <c r="AI18" s="28" t="n">
        <v>5.9</v>
      </c>
      <c r="AJ18" s="28" t="n">
        <v>5.2</v>
      </c>
      <c r="AK18" s="29" t="n">
        <v>5.2</v>
      </c>
      <c r="AL18" s="28" t="n">
        <f aca="false">AVERAGE(AF18:AK18)</f>
        <v>5.86666666666667</v>
      </c>
      <c r="AM18" s="28" t="n">
        <v>5.3</v>
      </c>
      <c r="AN18" s="28" t="n">
        <v>6</v>
      </c>
      <c r="AO18" s="28" t="n">
        <v>5.4</v>
      </c>
      <c r="AP18" s="28"/>
      <c r="AQ18" s="28"/>
      <c r="AR18" s="29"/>
      <c r="AS18" s="29"/>
      <c r="AT18" s="28" t="n">
        <f aca="false">AVERAGE(AM18:AR18)</f>
        <v>5.56666666666667</v>
      </c>
      <c r="AU18" s="1" t="n">
        <f aca="false">COUNT(G18:U18)</f>
        <v>15</v>
      </c>
      <c r="AV18" s="1" t="str">
        <f aca="false">IF(AU18&lt;5,"Low coverage",IF(AU18&lt;15,"Partial","Full"))</f>
        <v>Full</v>
      </c>
    </row>
    <row r="19" customFormat="false" ht="21.75" hidden="false" customHeight="true" outlineLevel="0" collapsed="false">
      <c r="A19" s="30" t="n">
        <v>18</v>
      </c>
      <c r="B19" s="30" t="s">
        <v>162</v>
      </c>
      <c r="C19" s="47" t="s">
        <v>188</v>
      </c>
      <c r="D19" s="23" t="s">
        <v>189</v>
      </c>
      <c r="E19" s="52" t="s">
        <v>191</v>
      </c>
      <c r="F19" s="25" t="s">
        <v>166</v>
      </c>
      <c r="G19" s="50" t="n">
        <v>4.9</v>
      </c>
      <c r="H19" s="50" t="n">
        <v>7.3</v>
      </c>
      <c r="I19" s="50" t="n">
        <v>6.27272727272727</v>
      </c>
      <c r="J19" s="50" t="n">
        <v>6.90909090909091</v>
      </c>
      <c r="K19" s="27" t="n">
        <v>7.54545454545455</v>
      </c>
      <c r="L19" s="27" t="n">
        <v>6.36363636363636</v>
      </c>
      <c r="M19" s="27" t="n">
        <v>5.72727272727273</v>
      </c>
      <c r="N19" s="27" t="n">
        <v>6.72727272727273</v>
      </c>
      <c r="O19" s="27" t="n">
        <v>6</v>
      </c>
      <c r="P19" s="27" t="n">
        <v>6.9</v>
      </c>
      <c r="Q19" s="27" t="n">
        <v>6.5</v>
      </c>
      <c r="R19" s="27" t="n">
        <v>6.4</v>
      </c>
      <c r="S19" s="27" t="n">
        <v>6.1</v>
      </c>
      <c r="T19" s="27" t="n">
        <v>6.1</v>
      </c>
      <c r="U19" s="27" t="n">
        <v>4.72727272727273</v>
      </c>
      <c r="V19" s="27" t="n">
        <f aca="false">AVERAGE(G19:U19)</f>
        <v>6.29818181818182</v>
      </c>
      <c r="W19" s="27" t="n">
        <f aca="false">AVERAGE(I19:N19)</f>
        <v>6.59090909090909</v>
      </c>
      <c r="X19" s="27" t="n">
        <f aca="false">AVERAGE(O19:U19)</f>
        <v>6.10389610389611</v>
      </c>
      <c r="Y19" s="27" t="n">
        <v>5.9</v>
      </c>
      <c r="Z19" s="27" t="n">
        <v>5.6</v>
      </c>
      <c r="AA19" s="27" t="n">
        <v>7.45</v>
      </c>
      <c r="AB19" s="27" t="n">
        <v>7.18</v>
      </c>
      <c r="AC19" s="27" t="n">
        <v>6.45</v>
      </c>
      <c r="AD19" s="27" t="n">
        <v>5.90909090909091</v>
      </c>
      <c r="AE19" s="27" t="n">
        <f aca="false">AVERAGE(Y19:AD19)</f>
        <v>6.41484848484849</v>
      </c>
      <c r="AF19" s="28" t="n">
        <v>6.8</v>
      </c>
      <c r="AG19" s="28" t="n">
        <v>6.1</v>
      </c>
      <c r="AH19" s="28" t="n">
        <v>5.27</v>
      </c>
      <c r="AI19" s="28" t="n">
        <v>6.272727273</v>
      </c>
      <c r="AJ19" s="28" t="n">
        <v>7.09090909090909</v>
      </c>
      <c r="AK19" s="29" t="n">
        <v>6.81818181818182</v>
      </c>
      <c r="AL19" s="28" t="n">
        <f aca="false">AVERAGE(AF19:AK19)</f>
        <v>6.39196969701515</v>
      </c>
      <c r="AM19" s="28" t="n">
        <v>7.09</v>
      </c>
      <c r="AN19" s="28" t="n">
        <v>7</v>
      </c>
      <c r="AO19" s="28" t="n">
        <v>7.090909091</v>
      </c>
      <c r="AP19" s="28"/>
      <c r="AQ19" s="28"/>
      <c r="AR19" s="29"/>
      <c r="AS19" s="29"/>
      <c r="AT19" s="28" t="n">
        <f aca="false">AVERAGE(AM19:AR19)</f>
        <v>7.06030303033333</v>
      </c>
      <c r="AU19" s="1" t="n">
        <f aca="false">COUNT(G19:U19)</f>
        <v>15</v>
      </c>
      <c r="AV19" s="1" t="str">
        <f aca="false">IF(AU19&lt;5,"Low coverage",IF(AU19&lt;15,"Partial","Full"))</f>
        <v>Full</v>
      </c>
    </row>
    <row r="20" customFormat="false" ht="21.75" hidden="false" customHeight="true" outlineLevel="0" collapsed="false">
      <c r="A20" s="21" t="n">
        <v>19</v>
      </c>
      <c r="B20" s="30" t="s">
        <v>162</v>
      </c>
      <c r="C20" s="47" t="s">
        <v>188</v>
      </c>
      <c r="D20" s="23" t="s">
        <v>189</v>
      </c>
      <c r="E20" s="53" t="s">
        <v>192</v>
      </c>
      <c r="F20" s="25" t="s">
        <v>166</v>
      </c>
      <c r="G20" s="27" t="n">
        <v>4.44444444444445</v>
      </c>
      <c r="H20" s="27" t="n">
        <v>5.44444444444445</v>
      </c>
      <c r="I20" s="27" t="n">
        <v>4.6</v>
      </c>
      <c r="J20" s="27" t="n">
        <v>4.9</v>
      </c>
      <c r="K20" s="27" t="n">
        <v>4.7</v>
      </c>
      <c r="L20" s="27" t="n">
        <v>5.3</v>
      </c>
      <c r="M20" s="27" t="n">
        <v>5.5</v>
      </c>
      <c r="N20" s="27" t="n">
        <v>5.4</v>
      </c>
      <c r="O20" s="27" t="n">
        <v>4.3</v>
      </c>
      <c r="P20" s="27" t="n">
        <v>6.3</v>
      </c>
      <c r="Q20" s="27" t="n">
        <v>5.9</v>
      </c>
      <c r="R20" s="27" t="n">
        <v>4.5</v>
      </c>
      <c r="S20" s="27" t="n">
        <v>2.2</v>
      </c>
      <c r="T20" s="27" t="n">
        <v>5</v>
      </c>
      <c r="U20" s="27" t="n">
        <v>3.43</v>
      </c>
      <c r="V20" s="27" t="n">
        <f aca="false">AVERAGE(G20:U20)</f>
        <v>4.79459259259259</v>
      </c>
      <c r="W20" s="27" t="n">
        <f aca="false">AVERAGE(I20:N20)</f>
        <v>5.06666666666667</v>
      </c>
      <c r="X20" s="27" t="n">
        <f aca="false">AVERAGE(O20:U20)</f>
        <v>4.51857142857143</v>
      </c>
      <c r="Y20" s="27" t="n">
        <v>3</v>
      </c>
      <c r="Z20" s="27" t="n">
        <v>4.5</v>
      </c>
      <c r="AA20" s="27" t="n">
        <v>4.82</v>
      </c>
      <c r="AB20" s="27" t="n">
        <v>5.36</v>
      </c>
      <c r="AC20" s="27" t="n">
        <v>6.58</v>
      </c>
      <c r="AD20" s="27" t="n">
        <v>5.08333333333333</v>
      </c>
      <c r="AE20" s="27" t="n">
        <f aca="false">AVERAGE(Y20:AD20)</f>
        <v>4.89055555555556</v>
      </c>
      <c r="AF20" s="28" t="n">
        <v>5.36363636363636</v>
      </c>
      <c r="AG20" s="28" t="n">
        <v>5.28181818181818</v>
      </c>
      <c r="AH20" s="28" t="n">
        <v>5.7</v>
      </c>
      <c r="AI20" s="28" t="n">
        <v>5.2</v>
      </c>
      <c r="AJ20" s="28" t="n">
        <v>4.5</v>
      </c>
      <c r="AK20" s="29" t="n">
        <v>8</v>
      </c>
      <c r="AL20" s="28" t="n">
        <f aca="false">AVERAGE(AF20:AK20)</f>
        <v>5.67424242424242</v>
      </c>
      <c r="AM20" s="28" t="n">
        <v>3.6</v>
      </c>
      <c r="AN20" s="28" t="n">
        <v>4.8</v>
      </c>
      <c r="AO20" s="28" t="n">
        <v>5.5</v>
      </c>
      <c r="AP20" s="28"/>
      <c r="AQ20" s="28"/>
      <c r="AR20" s="29"/>
      <c r="AS20" s="29"/>
      <c r="AT20" s="28" t="n">
        <f aca="false">AVERAGE(AM20:AR20)</f>
        <v>4.63333333333333</v>
      </c>
      <c r="AU20" s="1" t="n">
        <f aca="false">COUNT(G20:U20)</f>
        <v>15</v>
      </c>
      <c r="AV20" s="1" t="str">
        <f aca="false">IF(AU20&lt;5,"Low coverage",IF(AU20&lt;15,"Partial","Full"))</f>
        <v>Full</v>
      </c>
    </row>
    <row r="21" customFormat="false" ht="21.75" hidden="false" customHeight="true" outlineLevel="0" collapsed="false">
      <c r="A21" s="30" t="n">
        <v>20</v>
      </c>
      <c r="B21" s="30" t="s">
        <v>162</v>
      </c>
      <c r="C21" s="47" t="s">
        <v>188</v>
      </c>
      <c r="D21" s="23" t="s">
        <v>193</v>
      </c>
      <c r="E21" s="49" t="s">
        <v>194</v>
      </c>
      <c r="F21" s="25" t="s">
        <v>166</v>
      </c>
      <c r="G21" s="27" t="n">
        <v>7.1</v>
      </c>
      <c r="H21" s="27" t="n">
        <v>5.4</v>
      </c>
      <c r="I21" s="27" t="n">
        <v>6.22222222222222</v>
      </c>
      <c r="J21" s="27" t="n">
        <v>6.33333333333333</v>
      </c>
      <c r="K21" s="27" t="n">
        <v>5.44444444444445</v>
      </c>
      <c r="L21" s="27" t="n">
        <v>4.66666666666667</v>
      </c>
      <c r="M21" s="27" t="n">
        <v>6.77777777777778</v>
      </c>
      <c r="N21" s="27" t="n">
        <v>6.11111111111111</v>
      </c>
      <c r="O21" s="27" t="n">
        <v>6.11111111111111</v>
      </c>
      <c r="P21" s="27" t="n">
        <v>3.55555555555556</v>
      </c>
      <c r="Q21" s="27" t="n">
        <v>5.11</v>
      </c>
      <c r="R21" s="27" t="n">
        <v>6</v>
      </c>
      <c r="S21" s="27" t="n">
        <v>5.77</v>
      </c>
      <c r="T21" s="27" t="n">
        <v>3.88</v>
      </c>
      <c r="U21" s="27" t="n">
        <v>3.33333333333333</v>
      </c>
      <c r="V21" s="27" t="n">
        <f aca="false">AVERAGE(G21:U21)</f>
        <v>5.45437037037037</v>
      </c>
      <c r="W21" s="27" t="n">
        <f aca="false">AVERAGE(I21:N21)</f>
        <v>5.92592592592593</v>
      </c>
      <c r="X21" s="27" t="n">
        <f aca="false">AVERAGE(O21:U21)</f>
        <v>4.82285714285714</v>
      </c>
      <c r="Y21" s="27" t="n">
        <v>6.22</v>
      </c>
      <c r="Z21" s="27" t="n">
        <v>6.11</v>
      </c>
      <c r="AA21" s="27" t="n">
        <v>6.11</v>
      </c>
      <c r="AB21" s="27" t="n">
        <v>6.33</v>
      </c>
      <c r="AC21" s="27" t="n">
        <v>6.44</v>
      </c>
      <c r="AD21" s="27" t="n">
        <v>6.5</v>
      </c>
      <c r="AE21" s="27" t="n">
        <f aca="false">AVERAGE(Y21:AD21)</f>
        <v>6.285</v>
      </c>
      <c r="AF21" s="28" t="n">
        <v>5.44444444444445</v>
      </c>
      <c r="AG21" s="28" t="n">
        <v>6.66666666666667</v>
      </c>
      <c r="AH21" s="28" t="n">
        <v>6.22</v>
      </c>
      <c r="AI21" s="28" t="n">
        <v>7</v>
      </c>
      <c r="AJ21" s="28" t="n">
        <v>7.22</v>
      </c>
      <c r="AK21" s="29" t="n">
        <v>8.22222222222222</v>
      </c>
      <c r="AL21" s="28" t="n">
        <f aca="false">AVERAGE(AF21:AK21)</f>
        <v>6.79555555555556</v>
      </c>
      <c r="AM21" s="28" t="n">
        <v>9.56</v>
      </c>
      <c r="AN21" s="28" t="n">
        <v>8.78</v>
      </c>
      <c r="AO21" s="28"/>
      <c r="AP21" s="28"/>
      <c r="AQ21" s="28"/>
      <c r="AR21" s="29"/>
      <c r="AS21" s="29"/>
      <c r="AT21" s="28" t="n">
        <f aca="false">AVERAGE(AM21:AR21)</f>
        <v>9.17</v>
      </c>
      <c r="AU21" s="1" t="n">
        <f aca="false">COUNT(G21:U21)</f>
        <v>15</v>
      </c>
      <c r="AV21" s="1" t="str">
        <f aca="false">IF(AU21&lt;5,"Low coverage",IF(AU21&lt;15,"Partial","Full"))</f>
        <v>Full</v>
      </c>
    </row>
    <row r="22" customFormat="false" ht="15" hidden="false" customHeight="true" outlineLevel="0" collapsed="false">
      <c r="A22" s="35" t="n">
        <v>21</v>
      </c>
      <c r="B22" s="36" t="s">
        <v>162</v>
      </c>
      <c r="C22" s="37" t="s">
        <v>163</v>
      </c>
      <c r="D22" s="38" t="s">
        <v>164</v>
      </c>
      <c r="E22" s="54" t="s">
        <v>195</v>
      </c>
      <c r="F22" s="39" t="s">
        <v>176</v>
      </c>
      <c r="G22" s="40"/>
      <c r="H22" s="40"/>
      <c r="I22" s="40"/>
      <c r="J22" s="40"/>
      <c r="K22" s="40" t="n">
        <v>1.25</v>
      </c>
      <c r="L22" s="40" t="n">
        <v>8</v>
      </c>
      <c r="M22" s="40" t="n">
        <v>5.5</v>
      </c>
      <c r="N22" s="40" t="n">
        <v>5.5</v>
      </c>
      <c r="O22" s="40" t="n">
        <v>8</v>
      </c>
      <c r="P22" s="40" t="n">
        <v>5.5</v>
      </c>
      <c r="Q22" s="40" t="n">
        <v>5.75</v>
      </c>
      <c r="R22" s="40" t="n">
        <v>5.25</v>
      </c>
      <c r="S22" s="40" t="n">
        <v>6.75</v>
      </c>
      <c r="T22" s="40" t="n">
        <v>3.25</v>
      </c>
      <c r="U22" s="40" t="n">
        <v>5.5</v>
      </c>
      <c r="V22" s="40" t="n">
        <f aca="false">AVERAGE(G22:U22)</f>
        <v>5.47727272727273</v>
      </c>
      <c r="W22" s="40" t="n">
        <f aca="false">AVERAGE(I22:N22)</f>
        <v>5.0625</v>
      </c>
      <c r="X22" s="40" t="n">
        <f aca="false">AVERAGE(O22:U22)</f>
        <v>5.71428571428571</v>
      </c>
      <c r="Y22" s="41"/>
      <c r="Z22" s="41"/>
      <c r="AA22" s="41"/>
      <c r="AB22" s="41"/>
      <c r="AC22" s="41"/>
      <c r="AD22" s="41"/>
      <c r="AE22" s="41"/>
      <c r="AF22" s="42"/>
      <c r="AG22" s="42"/>
      <c r="AH22" s="42"/>
      <c r="AI22" s="42"/>
      <c r="AJ22" s="42"/>
      <c r="AK22" s="43"/>
      <c r="AL22" s="42"/>
      <c r="AM22" s="42"/>
      <c r="AN22" s="42"/>
      <c r="AO22" s="42"/>
      <c r="AP22" s="42"/>
      <c r="AQ22" s="42"/>
      <c r="AR22" s="43"/>
      <c r="AS22" s="43"/>
      <c r="AT22" s="42"/>
      <c r="AU22" s="44" t="n">
        <f aca="false">COUNT(G22:U22)</f>
        <v>11</v>
      </c>
      <c r="AV22" s="44" t="str">
        <f aca="false">IF(AU22&lt;5,"Low coverage",IF(AU22&lt;15,"Partial","Full"))</f>
        <v>Partial</v>
      </c>
      <c r="AW22" s="44" t="s">
        <v>177</v>
      </c>
    </row>
    <row r="23" customFormat="false" ht="21.75" hidden="false" customHeight="true" outlineLevel="0" collapsed="false">
      <c r="A23" s="30" t="n">
        <v>22</v>
      </c>
      <c r="B23" s="30" t="s">
        <v>162</v>
      </c>
      <c r="C23" s="47" t="s">
        <v>188</v>
      </c>
      <c r="D23" s="55" t="s">
        <v>196</v>
      </c>
      <c r="E23" s="56" t="s">
        <v>197</v>
      </c>
      <c r="F23" s="25" t="s">
        <v>166</v>
      </c>
      <c r="G23" s="27"/>
      <c r="H23" s="27"/>
      <c r="I23" s="27"/>
      <c r="J23" s="27"/>
      <c r="K23" s="27"/>
      <c r="L23" s="27"/>
      <c r="M23" s="27"/>
      <c r="N23" s="27"/>
      <c r="O23" s="27" t="n">
        <v>16</v>
      </c>
      <c r="P23" s="27" t="n">
        <v>13</v>
      </c>
      <c r="Q23" s="27" t="n">
        <v>13</v>
      </c>
      <c r="R23" s="27" t="n">
        <v>14.5</v>
      </c>
      <c r="S23" s="27" t="n">
        <v>9</v>
      </c>
      <c r="T23" s="27" t="n">
        <v>7.5</v>
      </c>
      <c r="U23" s="27" t="n">
        <v>12</v>
      </c>
      <c r="V23" s="27" t="n">
        <f aca="false">AVERAGE(G23:U23)</f>
        <v>12.1428571428571</v>
      </c>
      <c r="W23" s="27" t="n">
        <f aca="false">AVERAGE(I23:U23)</f>
        <v>12.1428571428571</v>
      </c>
      <c r="X23" s="27" t="n">
        <f aca="false">AVERAGE(O23:U23)</f>
        <v>12.1428571428571</v>
      </c>
      <c r="Y23" s="27" t="n">
        <v>12</v>
      </c>
      <c r="Z23" s="27" t="n">
        <v>11.5</v>
      </c>
      <c r="AA23" s="27" t="n">
        <v>14</v>
      </c>
      <c r="AB23" s="27" t="n">
        <v>11.5</v>
      </c>
      <c r="AC23" s="27" t="n">
        <v>12</v>
      </c>
      <c r="AD23" s="27" t="n">
        <v>9</v>
      </c>
      <c r="AE23" s="27" t="n">
        <f aca="false">AVERAGE(Y23:AD23)</f>
        <v>11.6666666666667</v>
      </c>
      <c r="AF23" s="28" t="n">
        <v>13</v>
      </c>
      <c r="AG23" s="28" t="n">
        <v>14</v>
      </c>
      <c r="AH23" s="28" t="n">
        <v>14</v>
      </c>
      <c r="AI23" s="28" t="n">
        <v>15</v>
      </c>
      <c r="AJ23" s="28" t="n">
        <v>12.5</v>
      </c>
      <c r="AK23" s="29" t="n">
        <v>13.5</v>
      </c>
      <c r="AL23" s="28" t="n">
        <f aca="false">AVERAGE(AF23:AK23)</f>
        <v>13.6666666666667</v>
      </c>
      <c r="AM23" s="28" t="n">
        <v>10.5</v>
      </c>
      <c r="AN23" s="28" t="n">
        <v>12</v>
      </c>
      <c r="AO23" s="28" t="n">
        <v>12</v>
      </c>
      <c r="AP23" s="28"/>
      <c r="AQ23" s="28"/>
      <c r="AR23" s="29"/>
      <c r="AS23" s="29"/>
      <c r="AT23" s="28" t="n">
        <f aca="false">AVERAGE(AM23:AR23)</f>
        <v>11.5</v>
      </c>
      <c r="AU23" s="1" t="n">
        <f aca="false">COUNT(G23:U23)</f>
        <v>7</v>
      </c>
      <c r="AV23" s="1" t="str">
        <f aca="false">IF(AU23&lt;5,"Low coverage",IF(AU23&lt;15,"Partial","Full"))</f>
        <v>Partial</v>
      </c>
    </row>
    <row r="24" customFormat="false" ht="21.75" hidden="false" customHeight="true" outlineLevel="0" collapsed="false">
      <c r="A24" s="21" t="n">
        <v>23</v>
      </c>
      <c r="B24" s="30" t="s">
        <v>162</v>
      </c>
      <c r="C24" s="47" t="s">
        <v>188</v>
      </c>
      <c r="D24" s="55" t="s">
        <v>196</v>
      </c>
      <c r="E24" s="56" t="s">
        <v>198</v>
      </c>
      <c r="F24" s="25" t="s">
        <v>166</v>
      </c>
      <c r="G24" s="27"/>
      <c r="H24" s="27"/>
      <c r="I24" s="27"/>
      <c r="J24" s="27"/>
      <c r="K24" s="27"/>
      <c r="L24" s="27"/>
      <c r="M24" s="27"/>
      <c r="N24" s="27"/>
      <c r="O24" s="27" t="n">
        <v>10</v>
      </c>
      <c r="P24" s="27" t="n">
        <v>8.25</v>
      </c>
      <c r="Q24" s="27" t="n">
        <v>12.75</v>
      </c>
      <c r="R24" s="27" t="n">
        <v>12.75</v>
      </c>
      <c r="S24" s="27" t="n">
        <v>10.25</v>
      </c>
      <c r="T24" s="27" t="n">
        <v>6</v>
      </c>
      <c r="U24" s="27" t="n">
        <v>2.25</v>
      </c>
      <c r="V24" s="27" t="n">
        <f aca="false">AVERAGE(G24:U24)</f>
        <v>8.89285714285714</v>
      </c>
      <c r="W24" s="27" t="n">
        <f aca="false">AVERAGE(I24:U24)</f>
        <v>8.89285714285714</v>
      </c>
      <c r="X24" s="27" t="n">
        <f aca="false">AVERAGE(O24:U24)</f>
        <v>8.89285714285714</v>
      </c>
      <c r="Y24" s="27" t="n">
        <v>14</v>
      </c>
      <c r="Z24" s="27" t="n">
        <v>14</v>
      </c>
      <c r="AA24" s="27" t="n">
        <v>12.67</v>
      </c>
      <c r="AB24" s="27" t="n">
        <v>11.33</v>
      </c>
      <c r="AC24" s="27" t="n">
        <v>8.75</v>
      </c>
      <c r="AD24" s="27" t="n">
        <v>9.66666666666667</v>
      </c>
      <c r="AE24" s="27" t="n">
        <f aca="false">AVERAGE(Y24:AD24)</f>
        <v>11.7361111111111</v>
      </c>
      <c r="AF24" s="28" t="n">
        <v>6</v>
      </c>
      <c r="AG24" s="28" t="n">
        <v>12</v>
      </c>
      <c r="AH24" s="28" t="n">
        <v>11.75</v>
      </c>
      <c r="AI24" s="28" t="n">
        <v>11.5</v>
      </c>
      <c r="AJ24" s="28" t="n">
        <v>10</v>
      </c>
      <c r="AK24" s="29" t="n">
        <v>9.8</v>
      </c>
      <c r="AL24" s="28" t="n">
        <f aca="false">AVERAGE(AF24:AK24)</f>
        <v>10.175</v>
      </c>
      <c r="AM24" s="28" t="n">
        <v>8.6</v>
      </c>
      <c r="AN24" s="28" t="n">
        <v>10</v>
      </c>
      <c r="AO24" s="28" t="n">
        <v>9.2</v>
      </c>
      <c r="AP24" s="28"/>
      <c r="AQ24" s="28"/>
      <c r="AR24" s="29"/>
      <c r="AS24" s="29"/>
      <c r="AT24" s="28" t="n">
        <f aca="false">AVERAGE(AM24:AR24)</f>
        <v>9.26666666666667</v>
      </c>
      <c r="AU24" s="1" t="n">
        <f aca="false">COUNT(G24:U24)</f>
        <v>7</v>
      </c>
      <c r="AV24" s="1" t="str">
        <f aca="false">IF(AU24&lt;5,"Low coverage",IF(AU24&lt;15,"Partial","Full"))</f>
        <v>Partial</v>
      </c>
    </row>
    <row r="25" customFormat="false" ht="21.75" hidden="false" customHeight="true" outlineLevel="0" collapsed="false">
      <c r="A25" s="30" t="n">
        <v>24</v>
      </c>
      <c r="B25" s="30" t="s">
        <v>162</v>
      </c>
      <c r="C25" s="47" t="s">
        <v>188</v>
      </c>
      <c r="D25" s="55" t="s">
        <v>196</v>
      </c>
      <c r="E25" s="56" t="s">
        <v>199</v>
      </c>
      <c r="F25" s="25" t="s">
        <v>166</v>
      </c>
      <c r="G25" s="27"/>
      <c r="H25" s="27"/>
      <c r="I25" s="27"/>
      <c r="J25" s="27"/>
      <c r="K25" s="27"/>
      <c r="L25" s="27"/>
      <c r="M25" s="27"/>
      <c r="N25" s="27"/>
      <c r="O25" s="27" t="n">
        <v>5</v>
      </c>
      <c r="P25" s="27" t="n">
        <v>6.5</v>
      </c>
      <c r="Q25" s="27" t="n">
        <v>8</v>
      </c>
      <c r="R25" s="27" t="n">
        <v>11.5</v>
      </c>
      <c r="S25" s="27" t="n">
        <v>2.5</v>
      </c>
      <c r="T25" s="27" t="n">
        <v>1</v>
      </c>
      <c r="U25" s="27" t="n">
        <v>2.5</v>
      </c>
      <c r="V25" s="27" t="n">
        <f aca="false">AVERAGE(G25:U25)</f>
        <v>5.28571428571429</v>
      </c>
      <c r="W25" s="27" t="n">
        <f aca="false">AVERAGE(I25:U25)</f>
        <v>5.28571428571429</v>
      </c>
      <c r="X25" s="27" t="n">
        <f aca="false">AVERAGE(O25:U25)</f>
        <v>5.28571428571429</v>
      </c>
      <c r="Y25" s="27"/>
      <c r="Z25" s="27"/>
      <c r="AA25" s="27"/>
      <c r="AB25" s="27"/>
      <c r="AC25" s="27" t="n">
        <v>8.5</v>
      </c>
      <c r="AD25" s="27" t="n">
        <v>6.5</v>
      </c>
      <c r="AE25" s="27" t="n">
        <f aca="false">AVERAGE(Y25:AD25)</f>
        <v>7.5</v>
      </c>
      <c r="AF25" s="28" t="n">
        <v>10</v>
      </c>
      <c r="AG25" s="46"/>
      <c r="AH25" s="46"/>
      <c r="AI25" s="46"/>
      <c r="AJ25" s="46"/>
      <c r="AK25" s="57"/>
      <c r="AL25" s="46" t="n">
        <f aca="false">AVERAGE(AF25:AK25)</f>
        <v>10</v>
      </c>
      <c r="AM25" s="46"/>
      <c r="AN25" s="46"/>
      <c r="AO25" s="46"/>
      <c r="AP25" s="46"/>
      <c r="AQ25" s="46"/>
      <c r="AR25" s="57"/>
      <c r="AS25" s="57"/>
      <c r="AT25" s="46"/>
      <c r="AU25" s="1" t="n">
        <f aca="false">COUNT(G25:U25)</f>
        <v>7</v>
      </c>
      <c r="AV25" s="1" t="str">
        <f aca="false">IF(AU25&lt;5,"Low coverage",IF(AU25&lt;15,"Partial","Full"))</f>
        <v>Partial</v>
      </c>
    </row>
    <row r="26" customFormat="false" ht="21.75" hidden="false" customHeight="true" outlineLevel="0" collapsed="false">
      <c r="A26" s="21" t="n">
        <v>25</v>
      </c>
      <c r="B26" s="58" t="s">
        <v>162</v>
      </c>
      <c r="C26" s="59" t="s">
        <v>200</v>
      </c>
      <c r="D26" s="60"/>
      <c r="E26" s="56" t="s">
        <v>201</v>
      </c>
      <c r="F26" s="25"/>
      <c r="G26" s="27"/>
      <c r="H26" s="27"/>
      <c r="I26" s="27"/>
      <c r="J26" s="27"/>
      <c r="K26" s="27"/>
      <c r="L26" s="27"/>
      <c r="M26" s="27"/>
      <c r="N26" s="27"/>
      <c r="O26" s="27"/>
      <c r="P26" s="27"/>
      <c r="Q26" s="27"/>
      <c r="R26" s="27"/>
      <c r="S26" s="27"/>
      <c r="T26" s="27"/>
      <c r="U26" s="27"/>
      <c r="V26" s="27"/>
      <c r="W26" s="27"/>
      <c r="X26" s="27"/>
      <c r="Y26" s="61"/>
      <c r="Z26" s="61"/>
      <c r="AA26" s="61"/>
      <c r="AB26" s="61"/>
      <c r="AC26" s="61"/>
      <c r="AD26" s="61"/>
      <c r="AE26" s="61"/>
      <c r="AF26" s="46"/>
      <c r="AG26" s="46"/>
      <c r="AH26" s="46"/>
      <c r="AI26" s="46"/>
      <c r="AJ26" s="46"/>
      <c r="AK26" s="57"/>
      <c r="AL26" s="46"/>
      <c r="AM26" s="46"/>
      <c r="AN26" s="46"/>
      <c r="AO26" s="46"/>
      <c r="AP26" s="46"/>
      <c r="AQ26" s="46"/>
      <c r="AR26" s="57"/>
      <c r="AS26" s="57"/>
      <c r="AT26" s="46"/>
      <c r="AU26" s="1" t="n">
        <f aca="false">COUNT(G26:U26)</f>
        <v>0</v>
      </c>
      <c r="AV26" s="1" t="str">
        <f aca="false">IF(AU26&lt;5,"Low coverage",IF(AU26&lt;15,"Partial","Full"))</f>
        <v>Low coverage</v>
      </c>
    </row>
    <row r="27" customFormat="false" ht="21.75" hidden="false" customHeight="true" outlineLevel="0" collapsed="false">
      <c r="A27" s="30" t="n">
        <v>26</v>
      </c>
      <c r="B27" s="62" t="s">
        <v>162</v>
      </c>
      <c r="C27" s="47" t="s">
        <v>188</v>
      </c>
      <c r="D27" s="63"/>
      <c r="E27" s="56" t="s">
        <v>201</v>
      </c>
      <c r="F27" s="25"/>
      <c r="G27" s="27"/>
      <c r="H27" s="27"/>
      <c r="I27" s="27"/>
      <c r="J27" s="27"/>
      <c r="K27" s="27"/>
      <c r="L27" s="27"/>
      <c r="M27" s="27"/>
      <c r="N27" s="27"/>
      <c r="O27" s="27"/>
      <c r="P27" s="27"/>
      <c r="Q27" s="27"/>
      <c r="R27" s="27"/>
      <c r="S27" s="27"/>
      <c r="T27" s="27"/>
      <c r="U27" s="27"/>
      <c r="V27" s="27"/>
      <c r="W27" s="27"/>
      <c r="X27" s="27"/>
      <c r="Y27" s="61"/>
      <c r="Z27" s="61"/>
      <c r="AA27" s="61"/>
      <c r="AB27" s="61"/>
      <c r="AC27" s="61"/>
      <c r="AD27" s="61"/>
      <c r="AE27" s="61"/>
      <c r="AF27" s="46"/>
      <c r="AG27" s="46"/>
      <c r="AH27" s="46"/>
      <c r="AI27" s="46"/>
      <c r="AJ27" s="46"/>
      <c r="AK27" s="57"/>
      <c r="AL27" s="46"/>
      <c r="AM27" s="46"/>
      <c r="AN27" s="46"/>
      <c r="AO27" s="46"/>
      <c r="AP27" s="46"/>
      <c r="AQ27" s="46"/>
      <c r="AR27" s="57"/>
      <c r="AS27" s="57"/>
      <c r="AT27" s="46"/>
      <c r="AU27" s="1" t="n">
        <f aca="false">COUNT(G27:U27)</f>
        <v>0</v>
      </c>
      <c r="AV27" s="1" t="str">
        <f aca="false">IF(AU27&lt;5,"Low coverage",IF(AU27&lt;15,"Partial","Full"))</f>
        <v>Low coverage</v>
      </c>
    </row>
    <row r="28" customFormat="false" ht="21.75" hidden="false" customHeight="true" outlineLevel="0" collapsed="false">
      <c r="A28" s="21" t="n">
        <v>27</v>
      </c>
      <c r="B28" s="21" t="s">
        <v>162</v>
      </c>
      <c r="C28" s="47" t="s">
        <v>188</v>
      </c>
      <c r="D28" s="64"/>
      <c r="E28" s="56" t="s">
        <v>202</v>
      </c>
      <c r="F28" s="65"/>
      <c r="G28" s="27"/>
      <c r="H28" s="27"/>
      <c r="I28" s="27"/>
      <c r="J28" s="27"/>
      <c r="K28" s="27"/>
      <c r="L28" s="27"/>
      <c r="M28" s="27"/>
      <c r="N28" s="27"/>
      <c r="O28" s="27"/>
      <c r="P28" s="27"/>
      <c r="Q28" s="27"/>
      <c r="R28" s="27"/>
      <c r="S28" s="27"/>
      <c r="T28" s="27"/>
      <c r="U28" s="27"/>
      <c r="V28" s="27"/>
      <c r="W28" s="27"/>
      <c r="X28" s="27"/>
      <c r="Y28" s="61"/>
      <c r="Z28" s="61"/>
      <c r="AA28" s="61"/>
      <c r="AB28" s="61"/>
      <c r="AC28" s="61"/>
      <c r="AD28" s="61"/>
      <c r="AE28" s="61"/>
      <c r="AF28" s="46"/>
      <c r="AG28" s="46"/>
      <c r="AH28" s="46"/>
      <c r="AI28" s="46"/>
      <c r="AJ28" s="46"/>
      <c r="AK28" s="57"/>
      <c r="AL28" s="46"/>
      <c r="AM28" s="46"/>
      <c r="AN28" s="46"/>
      <c r="AO28" s="46"/>
      <c r="AP28" s="46"/>
      <c r="AQ28" s="46"/>
      <c r="AR28" s="57"/>
      <c r="AS28" s="57"/>
      <c r="AT28" s="46"/>
      <c r="AU28" s="1" t="n">
        <f aca="false">COUNT(G28:U28)</f>
        <v>0</v>
      </c>
      <c r="AV28" s="1" t="str">
        <f aca="false">IF(AU28&lt;5,"Low coverage",IF(AU28&lt;15,"Partial","Full"))</f>
        <v>Low coverage</v>
      </c>
    </row>
    <row r="29" customFormat="false" ht="15" hidden="false" customHeight="true" outlineLevel="0" collapsed="false">
      <c r="A29" s="30" t="n">
        <v>28</v>
      </c>
      <c r="B29" s="30" t="s">
        <v>162</v>
      </c>
      <c r="C29" s="47" t="s">
        <v>181</v>
      </c>
      <c r="D29" s="48" t="s">
        <v>182</v>
      </c>
      <c r="E29" s="49" t="s">
        <v>203</v>
      </c>
      <c r="F29" s="25" t="s">
        <v>166</v>
      </c>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8" t="n">
        <v>3.33333333333333</v>
      </c>
      <c r="AG29" s="28" t="n">
        <v>9</v>
      </c>
      <c r="AH29" s="28" t="n">
        <v>4</v>
      </c>
      <c r="AI29" s="28" t="n">
        <v>8.5</v>
      </c>
      <c r="AJ29" s="28" t="n">
        <v>7.5</v>
      </c>
      <c r="AK29" s="29" t="n">
        <v>3.5</v>
      </c>
      <c r="AL29" s="28" t="n">
        <f aca="false">AVERAGE(AF29:AK29)</f>
        <v>5.97222222222222</v>
      </c>
      <c r="AM29" s="28" t="n">
        <v>7</v>
      </c>
      <c r="AN29" s="28"/>
      <c r="AO29" s="28"/>
      <c r="AP29" s="28"/>
      <c r="AQ29" s="28"/>
      <c r="AR29" s="29"/>
      <c r="AS29" s="29"/>
      <c r="AT29" s="28" t="n">
        <f aca="false">AVERAGE(AM29:AR29)</f>
        <v>7</v>
      </c>
      <c r="AU29" s="1" t="n">
        <f aca="false">COUNT(G29:U29)</f>
        <v>0</v>
      </c>
      <c r="AV29" s="1" t="str">
        <f aca="false">IF(AU29&lt;5,"Low coverage",IF(AU29&lt;15,"Partial","Full"))</f>
        <v>Low coverage</v>
      </c>
    </row>
    <row r="30" customFormat="false" ht="15" hidden="false" customHeight="true" outlineLevel="0" collapsed="false">
      <c r="D30" s="25"/>
      <c r="E30" s="56"/>
      <c r="F30" s="65"/>
      <c r="S30" s="66"/>
      <c r="T30" s="66"/>
    </row>
    <row r="31" customFormat="false" ht="15" hidden="false" customHeight="true" outlineLevel="0" collapsed="false">
      <c r="A31" s="67"/>
      <c r="B31" s="68"/>
      <c r="C31" s="68"/>
      <c r="D31" s="69"/>
      <c r="E31" s="70"/>
      <c r="F31" s="69"/>
      <c r="G31" s="68"/>
      <c r="H31" s="68"/>
      <c r="I31" s="68"/>
      <c r="J31" s="68"/>
      <c r="K31" s="68"/>
      <c r="L31" s="68"/>
      <c r="M31" s="68"/>
      <c r="N31" s="68"/>
      <c r="O31" s="68"/>
      <c r="P31" s="68" t="n">
        <v>5</v>
      </c>
      <c r="Q31" s="68"/>
      <c r="R31" s="68"/>
      <c r="S31" s="71"/>
      <c r="T31" s="71"/>
      <c r="U31" s="68"/>
      <c r="V31" s="72" t="n">
        <v>14</v>
      </c>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t="s">
        <v>204</v>
      </c>
    </row>
    <row r="32" customFormat="false" ht="15" hidden="false" customHeight="true" outlineLevel="0" collapsed="false">
      <c r="A32" s="67"/>
      <c r="B32" s="68"/>
      <c r="C32" s="68"/>
      <c r="D32" s="69"/>
      <c r="E32" s="70"/>
      <c r="F32" s="69"/>
      <c r="G32" s="68"/>
      <c r="H32" s="68"/>
      <c r="I32" s="68"/>
      <c r="J32" s="68"/>
      <c r="K32" s="68"/>
      <c r="L32" s="68"/>
      <c r="M32" s="68"/>
      <c r="N32" s="68"/>
      <c r="O32" s="68"/>
      <c r="P32" s="68" t="n">
        <v>5</v>
      </c>
      <c r="Q32" s="68"/>
      <c r="R32" s="68"/>
      <c r="S32" s="71"/>
      <c r="T32" s="71"/>
      <c r="U32" s="68"/>
      <c r="V32" s="72" t="n">
        <v>10</v>
      </c>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t="s">
        <v>204</v>
      </c>
    </row>
    <row r="33" customFormat="false" ht="15" hidden="false" customHeight="true" outlineLevel="0" collapsed="false">
      <c r="A33" s="67"/>
      <c r="B33" s="68"/>
      <c r="C33" s="68"/>
      <c r="D33" s="68"/>
      <c r="E33" s="68"/>
      <c r="F33" s="68"/>
      <c r="G33" s="68"/>
      <c r="H33" s="68"/>
      <c r="I33" s="68"/>
      <c r="J33" s="68"/>
      <c r="K33" s="68"/>
      <c r="L33" s="68"/>
      <c r="M33" s="68"/>
      <c r="N33" s="68"/>
      <c r="O33" s="68"/>
      <c r="P33" s="68" t="n">
        <v>10</v>
      </c>
      <c r="Q33" s="68"/>
      <c r="R33" s="68"/>
      <c r="S33" s="71"/>
      <c r="T33" s="71"/>
      <c r="U33" s="68"/>
      <c r="V33" s="72" t="n">
        <v>10</v>
      </c>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t="s">
        <v>204</v>
      </c>
    </row>
    <row r="34" customFormat="false" ht="15" hidden="false" customHeight="true" outlineLevel="0" collapsed="false">
      <c r="A34" s="67"/>
      <c r="B34" s="68"/>
      <c r="C34" s="68"/>
      <c r="D34" s="68"/>
      <c r="E34" s="68"/>
      <c r="F34" s="68"/>
      <c r="G34" s="68"/>
      <c r="H34" s="68"/>
      <c r="I34" s="68"/>
      <c r="J34" s="68"/>
      <c r="K34" s="68"/>
      <c r="L34" s="68"/>
      <c r="M34" s="68"/>
      <c r="N34" s="68"/>
      <c r="O34" s="68"/>
      <c r="P34" s="68" t="n">
        <v>10</v>
      </c>
      <c r="Q34" s="68"/>
      <c r="R34" s="68"/>
      <c r="S34" s="71"/>
      <c r="T34" s="71"/>
      <c r="U34" s="68"/>
      <c r="V34" s="72" t="n">
        <f aca="false">AVERAGE(V31:V33)</f>
        <v>11.3333333333333</v>
      </c>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t="s">
        <v>204</v>
      </c>
    </row>
    <row r="35" customFormat="false" ht="15" hidden="false" customHeight="true" outlineLevel="0" collapsed="false">
      <c r="A35" s="67"/>
      <c r="B35" s="68"/>
      <c r="C35" s="68"/>
      <c r="D35" s="68"/>
      <c r="E35" s="68"/>
      <c r="F35" s="68"/>
      <c r="G35" s="68"/>
      <c r="H35" s="68"/>
      <c r="I35" s="68"/>
      <c r="J35" s="68"/>
      <c r="K35" s="68"/>
      <c r="L35" s="68"/>
      <c r="M35" s="68"/>
      <c r="N35" s="68"/>
      <c r="O35" s="68"/>
      <c r="P35" s="68" t="n">
        <v>10</v>
      </c>
      <c r="Q35" s="68"/>
      <c r="R35" s="68"/>
      <c r="S35" s="71"/>
      <c r="T35" s="71"/>
      <c r="U35" s="68"/>
      <c r="V35" s="72" t="n">
        <f aca="false">V34*0.8</f>
        <v>9.06666666666667</v>
      </c>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t="s">
        <v>204</v>
      </c>
    </row>
    <row r="36" customFormat="false" ht="15" hidden="false" customHeight="true" outlineLevel="0" collapsed="false">
      <c r="E36" s="56"/>
      <c r="S36" s="66"/>
      <c r="T36" s="66"/>
    </row>
    <row r="37" customFormat="false" ht="15" hidden="false" customHeight="true" outlineLevel="0" collapsed="false">
      <c r="A37" s="67"/>
      <c r="B37" s="68"/>
      <c r="C37" s="68"/>
      <c r="D37" s="68"/>
      <c r="E37" s="70"/>
      <c r="F37" s="68"/>
      <c r="G37" s="68"/>
      <c r="H37" s="68"/>
      <c r="I37" s="68"/>
      <c r="J37" s="68"/>
      <c r="K37" s="68"/>
      <c r="L37" s="68"/>
      <c r="M37" s="68"/>
      <c r="N37" s="68"/>
      <c r="O37" s="68"/>
      <c r="P37" s="68" t="n">
        <f aca="false">AVERAGE(P31:P35)</f>
        <v>8</v>
      </c>
      <c r="Q37" s="68"/>
      <c r="R37" s="68"/>
      <c r="S37" s="71"/>
      <c r="T37" s="71"/>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t="s">
        <v>204</v>
      </c>
    </row>
    <row r="38" customFormat="false" ht="15" hidden="false" customHeight="true" outlineLevel="0" collapsed="false">
      <c r="A38" s="67"/>
      <c r="B38" s="68"/>
      <c r="C38" s="68"/>
      <c r="D38" s="68"/>
      <c r="E38" s="70"/>
      <c r="F38" s="68"/>
      <c r="G38" s="68"/>
      <c r="H38" s="68"/>
      <c r="I38" s="68"/>
      <c r="J38" s="68"/>
      <c r="K38" s="68"/>
      <c r="L38" s="68"/>
      <c r="M38" s="68"/>
      <c r="N38" s="68"/>
      <c r="O38" s="68"/>
      <c r="P38" s="68" t="n">
        <f aca="false">P37*0.8</f>
        <v>6.4</v>
      </c>
      <c r="Q38" s="68"/>
      <c r="R38" s="68"/>
      <c r="S38" s="71"/>
      <c r="T38" s="71"/>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t="s">
        <v>204</v>
      </c>
    </row>
    <row r="39" customFormat="false" ht="15" hidden="false" customHeight="true" outlineLevel="0" collapsed="false">
      <c r="S39" s="66"/>
      <c r="T39" s="66"/>
    </row>
    <row r="40" customFormat="false" ht="15" hidden="false" customHeight="true" outlineLevel="0" collapsed="false">
      <c r="S40" s="66"/>
      <c r="T40" s="66"/>
    </row>
    <row r="41" customFormat="false" ht="15" hidden="false" customHeight="true" outlineLevel="0" collapsed="false">
      <c r="E41" s="56"/>
      <c r="S41" s="66"/>
      <c r="T41" s="66"/>
    </row>
    <row r="42" customFormat="false" ht="15" hidden="false" customHeight="true" outlineLevel="0" collapsed="false">
      <c r="E42" s="56"/>
      <c r="S42" s="66"/>
      <c r="T42" s="66"/>
    </row>
    <row r="43" customFormat="false" ht="15" hidden="false" customHeight="true" outlineLevel="0" collapsed="false">
      <c r="E43" s="56"/>
      <c r="S43" s="66"/>
      <c r="T43" s="66"/>
    </row>
    <row r="44" customFormat="false" ht="15" hidden="false" customHeight="true" outlineLevel="0" collapsed="false">
      <c r="S44" s="66"/>
      <c r="T44" s="66"/>
    </row>
    <row r="45" customFormat="false" ht="15" hidden="false" customHeight="true" outlineLevel="0" collapsed="false">
      <c r="S45" s="66"/>
      <c r="T45" s="66"/>
    </row>
    <row r="46" customFormat="false" ht="15" hidden="false" customHeight="true" outlineLevel="0" collapsed="false">
      <c r="S46" s="66"/>
      <c r="T46" s="66"/>
    </row>
    <row r="47" customFormat="false" ht="15" hidden="false" customHeight="true" outlineLevel="0" collapsed="false">
      <c r="S47" s="66"/>
      <c r="T47" s="66"/>
    </row>
    <row r="48" customFormat="false" ht="15" hidden="false" customHeight="true" outlineLevel="0" collapsed="false">
      <c r="S48" s="66"/>
      <c r="T48" s="66"/>
    </row>
    <row r="49" customFormat="false" ht="15" hidden="false" customHeight="true" outlineLevel="0" collapsed="false">
      <c r="S49" s="66"/>
      <c r="T49" s="66"/>
    </row>
    <row r="50" customFormat="false" ht="15" hidden="false" customHeight="true" outlineLevel="0" collapsed="false">
      <c r="S50" s="66"/>
      <c r="T50" s="66"/>
    </row>
    <row r="51" customFormat="false" ht="15" hidden="false" customHeight="true" outlineLevel="0" collapsed="false">
      <c r="S51" s="66"/>
      <c r="T51" s="66"/>
    </row>
    <row r="52" customFormat="false" ht="15" hidden="false" customHeight="true" outlineLevel="0" collapsed="false">
      <c r="S52" s="66"/>
      <c r="T52" s="66"/>
    </row>
    <row r="53" customFormat="false" ht="15" hidden="false" customHeight="true" outlineLevel="0" collapsed="false">
      <c r="S53" s="66"/>
      <c r="T53" s="66"/>
    </row>
    <row r="54" customFormat="false" ht="15" hidden="false" customHeight="true" outlineLevel="0" collapsed="false">
      <c r="S54" s="66"/>
      <c r="T54" s="66"/>
    </row>
    <row r="55" customFormat="false" ht="15" hidden="false" customHeight="true" outlineLevel="0" collapsed="false">
      <c r="S55" s="66"/>
      <c r="T55" s="66"/>
    </row>
    <row r="56" customFormat="false" ht="15" hidden="false" customHeight="true" outlineLevel="0" collapsed="false">
      <c r="S56" s="66"/>
      <c r="T56" s="66"/>
    </row>
    <row r="57" customFormat="false" ht="15" hidden="false" customHeight="true" outlineLevel="0" collapsed="false">
      <c r="S57" s="66"/>
      <c r="T57" s="66"/>
    </row>
    <row r="58" customFormat="false" ht="15" hidden="false" customHeight="true" outlineLevel="0" collapsed="false">
      <c r="S58" s="66"/>
      <c r="T58" s="66"/>
    </row>
    <row r="59" customFormat="false" ht="15" hidden="false" customHeight="true" outlineLevel="0" collapsed="false">
      <c r="S59" s="66"/>
      <c r="T59" s="66"/>
    </row>
    <row r="60" customFormat="false" ht="15" hidden="false" customHeight="true" outlineLevel="0" collapsed="false">
      <c r="S60" s="66"/>
      <c r="T60" s="66"/>
    </row>
    <row r="61" customFormat="false" ht="15" hidden="false" customHeight="true" outlineLevel="0" collapsed="false">
      <c r="S61" s="66"/>
      <c r="T61" s="66"/>
    </row>
    <row r="62" customFormat="false" ht="15" hidden="false" customHeight="true" outlineLevel="0" collapsed="false">
      <c r="S62" s="66"/>
      <c r="T62" s="66"/>
    </row>
    <row r="63" customFormat="false" ht="15" hidden="false" customHeight="true" outlineLevel="0" collapsed="false">
      <c r="S63" s="66"/>
      <c r="T63" s="66"/>
    </row>
    <row r="64" customFormat="false" ht="15" hidden="false" customHeight="true" outlineLevel="0" collapsed="false">
      <c r="S64" s="66"/>
      <c r="T64" s="66"/>
    </row>
    <row r="65" customFormat="false" ht="15" hidden="false" customHeight="true" outlineLevel="0" collapsed="false">
      <c r="S65" s="66"/>
      <c r="T65" s="66"/>
    </row>
    <row r="66" customFormat="false" ht="15" hidden="false" customHeight="true" outlineLevel="0" collapsed="false">
      <c r="S66" s="66"/>
      <c r="T66" s="66"/>
    </row>
    <row r="67" customFormat="false" ht="15" hidden="false" customHeight="true" outlineLevel="0" collapsed="false">
      <c r="S67" s="66"/>
      <c r="T67" s="66"/>
    </row>
    <row r="68" customFormat="false" ht="15" hidden="false" customHeight="true" outlineLevel="0" collapsed="false">
      <c r="S68" s="66"/>
      <c r="T68" s="66"/>
    </row>
    <row r="69" customFormat="false" ht="15" hidden="false" customHeight="true" outlineLevel="0" collapsed="false">
      <c r="S69" s="66"/>
      <c r="T69" s="66"/>
    </row>
    <row r="70" customFormat="false" ht="15" hidden="false" customHeight="true" outlineLevel="0" collapsed="false">
      <c r="S70" s="66"/>
      <c r="T70" s="66"/>
    </row>
    <row r="71" customFormat="false" ht="15" hidden="false" customHeight="true" outlineLevel="0" collapsed="false">
      <c r="S71" s="66"/>
      <c r="T71" s="66"/>
    </row>
    <row r="72" customFormat="false" ht="15" hidden="false" customHeight="true" outlineLevel="0" collapsed="false">
      <c r="S72" s="66"/>
      <c r="T72" s="66"/>
    </row>
    <row r="73" customFormat="false" ht="15" hidden="false" customHeight="true" outlineLevel="0" collapsed="false">
      <c r="S73" s="66"/>
      <c r="T73" s="66"/>
    </row>
  </sheetData>
  <autoFilter ref="A1:AT2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K10" activeCellId="0" sqref="K10"/>
    </sheetView>
  </sheetViews>
  <sheetFormatPr defaultColWidth="8.5390625" defaultRowHeight="14.25" zeroHeight="false" outlineLevelRow="0" outlineLevelCol="0"/>
  <cols>
    <col collapsed="false" customWidth="true" hidden="false" outlineLevel="0" max="1" min="1" style="1" width="25.91"/>
    <col collapsed="false" customWidth="true" hidden="false" outlineLevel="0" max="3" min="2" style="1" width="14"/>
    <col collapsed="false" customWidth="true" hidden="false" outlineLevel="0" max="4" min="4" style="1" width="11.81"/>
    <col collapsed="false" customWidth="true" hidden="false" outlineLevel="0" max="5" min="5" style="1" width="12.81"/>
    <col collapsed="false" customWidth="true" hidden="false" outlineLevel="0" max="6" min="6" style="1" width="14"/>
    <col collapsed="false" customWidth="true" hidden="false" outlineLevel="0" max="8" min="8" style="1" width="12.45"/>
  </cols>
  <sheetData>
    <row r="1" customFormat="false" ht="14.25" hidden="false" customHeight="true" outlineLevel="0" collapsed="false">
      <c r="A1" s="1" t="s">
        <v>123</v>
      </c>
      <c r="B1" s="73" t="s">
        <v>205</v>
      </c>
      <c r="H1" s="73" t="s">
        <v>206</v>
      </c>
      <c r="I1" s="74"/>
    </row>
    <row r="2" customFormat="false" ht="14.25" hidden="false" customHeight="true" outlineLevel="0" collapsed="false">
      <c r="A2" s="1" t="s">
        <v>126</v>
      </c>
      <c r="B2" s="73" t="s">
        <v>166</v>
      </c>
      <c r="H2" s="73" t="s">
        <v>207</v>
      </c>
      <c r="I2" s="74"/>
    </row>
    <row r="4" customFormat="false" ht="14.25" hidden="false" customHeight="true" outlineLevel="0" collapsed="false">
      <c r="A4" s="75" t="s">
        <v>208</v>
      </c>
      <c r="B4" s="76" t="s">
        <v>209</v>
      </c>
      <c r="C4" s="77" t="s">
        <v>210</v>
      </c>
      <c r="D4" s="77" t="s">
        <v>211</v>
      </c>
      <c r="E4" s="77" t="s">
        <v>212</v>
      </c>
      <c r="F4" s="78" t="s">
        <v>213</v>
      </c>
    </row>
    <row r="5" customFormat="false" ht="14.25" hidden="false" customHeight="true" outlineLevel="0" collapsed="false">
      <c r="A5" s="79" t="s">
        <v>196</v>
      </c>
      <c r="B5" s="80" t="n">
        <v>8.77380952380952</v>
      </c>
      <c r="C5" s="81" t="n">
        <v>8.77380952380952</v>
      </c>
      <c r="D5" s="81" t="n">
        <v>10.3009259259259</v>
      </c>
      <c r="E5" s="82" t="n">
        <v>11.2805555555556</v>
      </c>
      <c r="F5" s="83" t="n">
        <v>10.3833333333333</v>
      </c>
    </row>
    <row r="6" customFormat="false" ht="14.25" hidden="false" customHeight="true" outlineLevel="0" collapsed="false">
      <c r="A6" s="84" t="s">
        <v>197</v>
      </c>
      <c r="B6" s="85" t="n">
        <v>12.1428571428571</v>
      </c>
      <c r="C6" s="86" t="n">
        <v>12.1428571428571</v>
      </c>
      <c r="D6" s="86" t="n">
        <v>11.6666666666667</v>
      </c>
      <c r="E6" s="87" t="n">
        <v>13.6666666666667</v>
      </c>
      <c r="F6" s="88" t="n">
        <v>11.5</v>
      </c>
    </row>
    <row r="7" customFormat="false" ht="14.25" hidden="false" customHeight="true" outlineLevel="0" collapsed="false">
      <c r="A7" s="84" t="s">
        <v>199</v>
      </c>
      <c r="B7" s="85" t="n">
        <v>5.28571428571429</v>
      </c>
      <c r="C7" s="86" t="n">
        <v>5.28571428571429</v>
      </c>
      <c r="D7" s="86" t="n">
        <v>7.5</v>
      </c>
      <c r="E7" s="87" t="n">
        <v>10</v>
      </c>
      <c r="F7" s="89"/>
    </row>
    <row r="8" customFormat="false" ht="14.25" hidden="false" customHeight="true" outlineLevel="0" collapsed="false">
      <c r="A8" s="90" t="s">
        <v>198</v>
      </c>
      <c r="B8" s="91" t="n">
        <v>8.89285714285714</v>
      </c>
      <c r="C8" s="92" t="n">
        <v>8.89285714285714</v>
      </c>
      <c r="D8" s="92" t="n">
        <v>11.7361111111111</v>
      </c>
      <c r="E8" s="93" t="n">
        <v>10.175</v>
      </c>
      <c r="F8" s="94" t="n">
        <v>9.26666666666667</v>
      </c>
    </row>
    <row r="9" customFormat="false" ht="14.25" hidden="false" customHeight="true" outlineLevel="0" collapsed="false">
      <c r="A9" s="79" t="s">
        <v>164</v>
      </c>
      <c r="B9" s="80" t="n">
        <v>5.97727457727458</v>
      </c>
      <c r="C9" s="81" t="n">
        <v>6.33766482464754</v>
      </c>
      <c r="D9" s="81" t="n">
        <v>7.24011396011396</v>
      </c>
      <c r="E9" s="82" t="n">
        <v>7.37774165648738</v>
      </c>
      <c r="F9" s="83" t="n">
        <v>7.041</v>
      </c>
    </row>
    <row r="10" customFormat="false" ht="14.25" hidden="false" customHeight="true" outlineLevel="0" collapsed="false">
      <c r="A10" s="84" t="s">
        <v>165</v>
      </c>
      <c r="B10" s="95"/>
      <c r="C10" s="86" t="n">
        <v>4.94444444444445</v>
      </c>
      <c r="D10" s="86" t="n">
        <v>6.20833333333333</v>
      </c>
      <c r="E10" s="87" t="n">
        <v>6.425</v>
      </c>
      <c r="F10" s="88" t="n">
        <v>5.08333333333333</v>
      </c>
    </row>
    <row r="11" customFormat="false" ht="14.25" hidden="false" customHeight="true" outlineLevel="0" collapsed="false">
      <c r="A11" s="84" t="s">
        <v>179</v>
      </c>
      <c r="B11" s="85" t="n">
        <v>4.23076923076923</v>
      </c>
      <c r="C11" s="86" t="n">
        <v>5.6754945055055</v>
      </c>
      <c r="D11" s="86" t="n">
        <v>7.01679487179487</v>
      </c>
      <c r="E11" s="87" t="n">
        <v>7.27205128205128</v>
      </c>
      <c r="F11" s="88" t="n">
        <v>7.85</v>
      </c>
    </row>
    <row r="12" customFormat="false" ht="14.25" hidden="false" customHeight="true" outlineLevel="0" collapsed="false">
      <c r="A12" s="84" t="s">
        <v>180</v>
      </c>
      <c r="B12" s="85" t="n">
        <v>3.8</v>
      </c>
      <c r="C12" s="86" t="n">
        <v>4.22285714290476</v>
      </c>
      <c r="D12" s="86" t="n">
        <v>6.17055555555556</v>
      </c>
      <c r="E12" s="87" t="n">
        <v>6.60856532353968</v>
      </c>
      <c r="F12" s="89"/>
    </row>
    <row r="13" customFormat="false" ht="14.25" hidden="false" customHeight="true" outlineLevel="0" collapsed="false">
      <c r="A13" s="84" t="s">
        <v>174</v>
      </c>
      <c r="B13" s="85" t="n">
        <v>6.07142857142857</v>
      </c>
      <c r="C13" s="86" t="n">
        <v>7.39214285714286</v>
      </c>
      <c r="D13" s="86" t="n">
        <v>7.4375</v>
      </c>
      <c r="E13" s="87" t="n">
        <v>5.81416666666667</v>
      </c>
      <c r="F13" s="88" t="n">
        <v>5.295</v>
      </c>
    </row>
    <row r="14" customFormat="false" ht="14.25" hidden="false" customHeight="true" outlineLevel="0" collapsed="false">
      <c r="A14" s="84" t="s">
        <v>178</v>
      </c>
      <c r="B14" s="85" t="n">
        <v>6.14074074074074</v>
      </c>
      <c r="C14" s="86" t="n">
        <v>7.45984120634921</v>
      </c>
      <c r="D14" s="86" t="n">
        <v>7.62583333333333</v>
      </c>
      <c r="E14" s="87" t="n">
        <v>7.48</v>
      </c>
      <c r="F14" s="88" t="n">
        <v>5.37666666666667</v>
      </c>
    </row>
    <row r="15" customFormat="false" ht="14.25" hidden="false" customHeight="true" outlineLevel="0" collapsed="false">
      <c r="A15" s="90" t="s">
        <v>167</v>
      </c>
      <c r="B15" s="91" t="n">
        <v>9.64343434343434</v>
      </c>
      <c r="C15" s="92" t="n">
        <v>8.33120879153846</v>
      </c>
      <c r="D15" s="92" t="n">
        <v>8.98166666666667</v>
      </c>
      <c r="E15" s="93" t="n">
        <v>10.6666666666667</v>
      </c>
      <c r="F15" s="94" t="n">
        <v>11.6</v>
      </c>
    </row>
    <row r="16" customFormat="false" ht="14.25" hidden="false" customHeight="true" outlineLevel="0" collapsed="false">
      <c r="A16" s="79" t="s">
        <v>193</v>
      </c>
      <c r="B16" s="80" t="n">
        <v>5.92592592592593</v>
      </c>
      <c r="C16" s="81" t="n">
        <v>4.82285714285714</v>
      </c>
      <c r="D16" s="81" t="n">
        <v>6.285</v>
      </c>
      <c r="E16" s="82" t="n">
        <v>6.79555555555556</v>
      </c>
      <c r="F16" s="83" t="n">
        <v>9.17</v>
      </c>
    </row>
    <row r="17" customFormat="false" ht="14.25" hidden="false" customHeight="true" outlineLevel="0" collapsed="false">
      <c r="A17" s="90" t="s">
        <v>194</v>
      </c>
      <c r="B17" s="91" t="n">
        <v>5.92592592592593</v>
      </c>
      <c r="C17" s="92" t="n">
        <v>4.82285714285714</v>
      </c>
      <c r="D17" s="92" t="n">
        <v>6.285</v>
      </c>
      <c r="E17" s="93" t="n">
        <v>6.79555555555556</v>
      </c>
      <c r="F17" s="94" t="n">
        <v>9.17</v>
      </c>
    </row>
    <row r="18" customFormat="false" ht="14.25" hidden="false" customHeight="true" outlineLevel="0" collapsed="false">
      <c r="A18" s="79" t="s">
        <v>182</v>
      </c>
      <c r="B18" s="80" t="n">
        <v>7.75823529411765</v>
      </c>
      <c r="C18" s="81" t="n">
        <v>7.36378718487395</v>
      </c>
      <c r="D18" s="81" t="n">
        <v>7.08571428571429</v>
      </c>
      <c r="E18" s="82" t="n">
        <v>6.53088888888889</v>
      </c>
      <c r="F18" s="83" t="n">
        <v>7.41083333333333</v>
      </c>
    </row>
    <row r="19" customFormat="false" ht="14.25" hidden="false" customHeight="true" outlineLevel="0" collapsed="false">
      <c r="A19" s="84" t="s">
        <v>186</v>
      </c>
      <c r="B19" s="85" t="n">
        <v>8.55</v>
      </c>
      <c r="C19" s="86" t="n">
        <v>8.11428571428571</v>
      </c>
      <c r="D19" s="86" t="n">
        <v>8.06</v>
      </c>
      <c r="E19" s="87" t="n">
        <v>4.29666666666667</v>
      </c>
      <c r="F19" s="89"/>
    </row>
    <row r="20" customFormat="false" ht="14.25" hidden="false" customHeight="true" outlineLevel="0" collapsed="false">
      <c r="A20" s="84" t="s">
        <v>185</v>
      </c>
      <c r="B20" s="85" t="n">
        <v>8.41666666666667</v>
      </c>
      <c r="C20" s="86" t="n">
        <v>8.70714285714286</v>
      </c>
      <c r="D20" s="86" t="n">
        <v>7.39166666666667</v>
      </c>
      <c r="E20" s="87" t="n">
        <v>5.875</v>
      </c>
      <c r="F20" s="88" t="n">
        <v>5.5</v>
      </c>
    </row>
    <row r="21" customFormat="false" ht="14.25" hidden="false" customHeight="true" outlineLevel="0" collapsed="false">
      <c r="A21" s="84" t="s">
        <v>183</v>
      </c>
      <c r="B21" s="85" t="n">
        <v>8.68627450980392</v>
      </c>
      <c r="C21" s="86" t="n">
        <v>7.18066302521009</v>
      </c>
      <c r="D21" s="86" t="n">
        <v>7.76666666666667</v>
      </c>
      <c r="E21" s="87" t="n">
        <v>8.42222222222222</v>
      </c>
      <c r="F21" s="88" t="n">
        <v>8.11</v>
      </c>
    </row>
    <row r="22" customFormat="false" ht="14.25" hidden="false" customHeight="true" outlineLevel="0" collapsed="false">
      <c r="A22" s="84" t="s">
        <v>184</v>
      </c>
      <c r="B22" s="85" t="n">
        <v>5.38</v>
      </c>
      <c r="C22" s="86" t="n">
        <v>5.45305714285714</v>
      </c>
      <c r="D22" s="86" t="n">
        <v>5.12452380952381</v>
      </c>
      <c r="E22" s="87" t="n">
        <v>8.08833333333333</v>
      </c>
      <c r="F22" s="88" t="n">
        <v>9.03333333333333</v>
      </c>
    </row>
    <row r="23" customFormat="false" ht="14.25" hidden="false" customHeight="true" outlineLevel="0" collapsed="false">
      <c r="A23" s="90" t="s">
        <v>203</v>
      </c>
      <c r="B23" s="96"/>
      <c r="C23" s="97"/>
      <c r="D23" s="97"/>
      <c r="E23" s="93" t="n">
        <v>5.97222222222222</v>
      </c>
      <c r="F23" s="94" t="n">
        <v>7</v>
      </c>
    </row>
    <row r="24" customFormat="false" ht="14.25" hidden="false" customHeight="true" outlineLevel="0" collapsed="false">
      <c r="A24" s="79" t="s">
        <v>168</v>
      </c>
      <c r="B24" s="80" t="n">
        <v>7.16037037037037</v>
      </c>
      <c r="C24" s="81" t="n">
        <v>6.61802721215828</v>
      </c>
      <c r="D24" s="81" t="n">
        <v>6.65493650793651</v>
      </c>
      <c r="E24" s="82" t="n">
        <v>8.27550793649735</v>
      </c>
      <c r="F24" s="83" t="n">
        <v>8.83330158713333</v>
      </c>
    </row>
    <row r="25" customFormat="false" ht="14.25" hidden="false" customHeight="true" outlineLevel="0" collapsed="false">
      <c r="A25" s="84" t="s">
        <v>171</v>
      </c>
      <c r="B25" s="85" t="n">
        <v>11.4166666666667</v>
      </c>
      <c r="C25" s="86" t="n">
        <v>10.5142857142857</v>
      </c>
      <c r="D25" s="86" t="n">
        <v>11.8285714285714</v>
      </c>
      <c r="E25" s="87" t="n">
        <v>13.0333333333333</v>
      </c>
      <c r="F25" s="88" t="n">
        <v>14.0666666666667</v>
      </c>
    </row>
    <row r="26" customFormat="false" ht="14.25" hidden="false" customHeight="true" outlineLevel="0" collapsed="false">
      <c r="A26" s="84" t="s">
        <v>172</v>
      </c>
      <c r="B26" s="85" t="n">
        <v>7.69444444444444</v>
      </c>
      <c r="C26" s="86" t="n">
        <v>7.98775510206122</v>
      </c>
      <c r="D26" s="86" t="n">
        <v>8.87333333333333</v>
      </c>
      <c r="E26" s="87" t="n">
        <v>9.45142857135714</v>
      </c>
      <c r="F26" s="88" t="n">
        <v>10.19095238</v>
      </c>
    </row>
    <row r="27" customFormat="false" ht="14.25" hidden="false" customHeight="true" outlineLevel="0" collapsed="false">
      <c r="A27" s="84" t="s">
        <v>170</v>
      </c>
      <c r="B27" s="85" t="n">
        <v>4.41666666666667</v>
      </c>
      <c r="C27" s="86" t="n">
        <v>4.22142857142857</v>
      </c>
      <c r="D27" s="86" t="n">
        <v>4.41666666666667</v>
      </c>
      <c r="E27" s="87" t="n">
        <v>4.29166666666667</v>
      </c>
      <c r="F27" s="88" t="n">
        <v>4.5</v>
      </c>
    </row>
    <row r="28" customFormat="false" ht="14.25" hidden="false" customHeight="true" outlineLevel="0" collapsed="false">
      <c r="A28" s="84" t="s">
        <v>169</v>
      </c>
      <c r="B28" s="85" t="n">
        <v>3.02407407407407</v>
      </c>
      <c r="C28" s="86" t="n">
        <v>4.22380953015873</v>
      </c>
      <c r="D28" s="86" t="n">
        <v>3.90666666666667</v>
      </c>
      <c r="E28" s="87" t="n">
        <v>4.60111111112963</v>
      </c>
      <c r="F28" s="88" t="n">
        <v>5.408888889</v>
      </c>
    </row>
    <row r="29" customFormat="false" ht="14.25" hidden="false" customHeight="true" outlineLevel="0" collapsed="false">
      <c r="A29" s="90" t="s">
        <v>173</v>
      </c>
      <c r="B29" s="91" t="n">
        <v>9.25</v>
      </c>
      <c r="C29" s="92" t="n">
        <v>6.14285714285714</v>
      </c>
      <c r="D29" s="92" t="n">
        <v>4.24944444444444</v>
      </c>
      <c r="E29" s="93" t="n">
        <v>10</v>
      </c>
      <c r="F29" s="94" t="n">
        <v>10</v>
      </c>
    </row>
    <row r="30" customFormat="false" ht="14.25" hidden="false" customHeight="true" outlineLevel="0" collapsed="false">
      <c r="A30" s="79" t="s">
        <v>189</v>
      </c>
      <c r="B30" s="80" t="n">
        <v>5.28939393939394</v>
      </c>
      <c r="C30" s="81" t="n">
        <v>5.37415584415584</v>
      </c>
      <c r="D30" s="81" t="n">
        <v>5.72488215488216</v>
      </c>
      <c r="E30" s="82" t="n">
        <v>5.97762626264142</v>
      </c>
      <c r="F30" s="83" t="n">
        <v>5.75343434344444</v>
      </c>
    </row>
    <row r="31" customFormat="false" ht="14.25" hidden="false" customHeight="true" outlineLevel="0" collapsed="false">
      <c r="A31" s="84" t="s">
        <v>192</v>
      </c>
      <c r="B31" s="85" t="n">
        <v>5.06666666666667</v>
      </c>
      <c r="C31" s="86" t="n">
        <v>4.51857142857143</v>
      </c>
      <c r="D31" s="86" t="n">
        <v>4.89055555555556</v>
      </c>
      <c r="E31" s="87" t="n">
        <v>5.67424242424243</v>
      </c>
      <c r="F31" s="88" t="n">
        <v>4.63333333333333</v>
      </c>
    </row>
    <row r="32" customFormat="false" ht="14.25" hidden="false" customHeight="true" outlineLevel="0" collapsed="false">
      <c r="A32" s="84" t="s">
        <v>191</v>
      </c>
      <c r="B32" s="85" t="n">
        <v>6.59090909090909</v>
      </c>
      <c r="C32" s="86" t="n">
        <v>6.1038961038961</v>
      </c>
      <c r="D32" s="86" t="n">
        <v>6.41484848484849</v>
      </c>
      <c r="E32" s="87" t="n">
        <v>6.39196969701515</v>
      </c>
      <c r="F32" s="88" t="n">
        <v>7.06030303033333</v>
      </c>
    </row>
    <row r="33" customFormat="false" ht="14.25" hidden="false" customHeight="true" outlineLevel="0" collapsed="false">
      <c r="A33" s="90" t="s">
        <v>190</v>
      </c>
      <c r="B33" s="91" t="n">
        <v>4.21060606060606</v>
      </c>
      <c r="C33" s="92" t="n">
        <v>5.5</v>
      </c>
      <c r="D33" s="92" t="n">
        <v>5.86924242424243</v>
      </c>
      <c r="E33" s="93" t="n">
        <v>5.86666666666667</v>
      </c>
      <c r="F33" s="94" t="n">
        <v>5.56666666666667</v>
      </c>
    </row>
    <row r="34" customFormat="false" ht="14.25" hidden="false" customHeight="true" outlineLevel="0" collapsed="false">
      <c r="A34" s="98" t="s">
        <v>214</v>
      </c>
      <c r="B34" s="99" t="n">
        <v>6.89698582048722</v>
      </c>
      <c r="C34" s="100" t="n">
        <v>6.71991031795117</v>
      </c>
      <c r="D34" s="100" t="n">
        <v>7.24639307662035</v>
      </c>
      <c r="E34" s="101" t="n">
        <v>7.68993630765226</v>
      </c>
      <c r="F34" s="102" t="n">
        <v>7.8105905483</v>
      </c>
    </row>
    <row r="35" customFormat="false" ht="14.25" hidden="false" customHeight="true" outlineLevel="0" collapsed="false">
      <c r="C35" s="86"/>
      <c r="D35" s="86"/>
      <c r="E35" s="86"/>
    </row>
    <row r="36" customFormat="false" ht="14.25" hidden="false" customHeight="true" outlineLevel="0" collapsed="false">
      <c r="C36" s="86"/>
      <c r="D36" s="86"/>
      <c r="E36" s="86"/>
    </row>
    <row r="37" customFormat="false" ht="14.25" hidden="false" customHeight="true" outlineLevel="0" collapsed="false">
      <c r="C37" s="86"/>
      <c r="D37" s="86"/>
      <c r="E37" s="86"/>
    </row>
    <row r="3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BX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BI2" activePane="bottomRight" state="frozen"/>
      <selection pane="topLeft" activeCell="A1" activeCellId="0" sqref="A1"/>
      <selection pane="topRight" activeCell="BI1" activeCellId="0" sqref="BI1"/>
      <selection pane="bottomLeft" activeCell="A2" activeCellId="0" sqref="A2"/>
      <selection pane="bottomRight" activeCell="BV14" activeCellId="0" sqref="BV14"/>
    </sheetView>
  </sheetViews>
  <sheetFormatPr defaultColWidth="8.5390625" defaultRowHeight="15" zeroHeight="false" outlineLevelRow="0" outlineLevelCol="0"/>
  <cols>
    <col collapsed="false" customWidth="true" hidden="false" outlineLevel="0" max="1" min="1" style="1" width="10.54"/>
    <col collapsed="false" customWidth="true" hidden="false" outlineLevel="0" max="3" min="2" style="1" width="13.81"/>
    <col collapsed="false" customWidth="true" hidden="false" outlineLevel="0" max="4" min="4" style="1" width="18.54"/>
    <col collapsed="false" customWidth="true" hidden="false" outlineLevel="0" max="5" min="5" style="1" width="13.81"/>
    <col collapsed="false" customWidth="true" hidden="false" outlineLevel="0" max="6" min="6" style="1" width="11.18"/>
    <col collapsed="false" customWidth="true" hidden="false" outlineLevel="0" max="7" min="7" style="1" width="11.81"/>
    <col collapsed="false" customWidth="true" hidden="false" outlineLevel="0" max="8" min="8" style="1" width="11.18"/>
    <col collapsed="false" customWidth="true" hidden="false" outlineLevel="0" max="9" min="9" style="1" width="11.81"/>
    <col collapsed="false" customWidth="true" hidden="false" outlineLevel="0" max="10" min="10" style="1" width="10.54"/>
    <col collapsed="false" customWidth="true" hidden="false" outlineLevel="0" max="11" min="11" style="103" width="11.18"/>
    <col collapsed="false" customWidth="true" hidden="false" outlineLevel="0" max="12" min="12" style="103" width="11.81"/>
    <col collapsed="false" customWidth="true" hidden="false" outlineLevel="0" max="13" min="13" style="104" width="10.54"/>
    <col collapsed="false" customWidth="true" hidden="false" outlineLevel="0" max="15" min="14" style="103" width="11.18"/>
    <col collapsed="false" customWidth="true" hidden="false" outlineLevel="0" max="16" min="16" style="104" width="12.54"/>
    <col collapsed="false" customWidth="true" hidden="false" outlineLevel="0" max="17" min="17" style="105" width="10.54"/>
    <col collapsed="false" customWidth="true" hidden="false" outlineLevel="0" max="22" min="22" style="1" width="9.54"/>
    <col collapsed="false" customWidth="true" hidden="false" outlineLevel="0" max="23" min="23" style="1" width="10"/>
    <col collapsed="false" customWidth="true" hidden="false" outlineLevel="0" max="24" min="24" style="1" width="10.54"/>
    <col collapsed="false" customWidth="true" hidden="false" outlineLevel="0" max="29" min="25" style="106" width="11.18"/>
    <col collapsed="false" customWidth="true" hidden="false" outlineLevel="0" max="30" min="30" style="105" width="10.54"/>
    <col collapsed="false" customWidth="true" hidden="false" outlineLevel="0" max="34" min="34" style="1" width="8.73"/>
    <col collapsed="false" customWidth="true" hidden="false" outlineLevel="0" max="35" min="35" style="105" width="10.54"/>
    <col collapsed="false" customWidth="true" hidden="false" outlineLevel="0" max="36" min="36" style="73" width="14.45"/>
    <col collapsed="false" customWidth="true" hidden="false" outlineLevel="0" max="45" min="37" style="1" width="8.73"/>
    <col collapsed="false" customWidth="true" hidden="false" outlineLevel="0" max="46" min="46" style="105" width="10.54"/>
    <col collapsed="false" customWidth="true" hidden="false" outlineLevel="0" max="52" min="51" style="1" width="9.18"/>
    <col collapsed="false" customWidth="true" hidden="false" outlineLevel="0" max="64" min="53" style="1" width="8.73"/>
    <col collapsed="false" customWidth="true" hidden="false" outlineLevel="0" max="74" min="68" style="1" width="8.73"/>
  </cols>
  <sheetData>
    <row r="1" customFormat="false" ht="149.25" hidden="false" customHeight="true" outlineLevel="0" collapsed="false">
      <c r="A1" s="14" t="s">
        <v>122</v>
      </c>
      <c r="B1" s="14" t="s">
        <v>123</v>
      </c>
      <c r="C1" s="14" t="s">
        <v>124</v>
      </c>
      <c r="D1" s="14" t="s">
        <v>125</v>
      </c>
      <c r="E1" s="14" t="s">
        <v>126</v>
      </c>
      <c r="F1" s="107" t="s">
        <v>215</v>
      </c>
      <c r="G1" s="107" t="s">
        <v>216</v>
      </c>
      <c r="H1" s="107" t="s">
        <v>217</v>
      </c>
      <c r="I1" s="107" t="s">
        <v>218</v>
      </c>
      <c r="J1" s="108" t="s">
        <v>219</v>
      </c>
      <c r="K1" s="107" t="s">
        <v>220</v>
      </c>
      <c r="L1" s="107" t="s">
        <v>221</v>
      </c>
      <c r="M1" s="108" t="s">
        <v>219</v>
      </c>
      <c r="N1" s="107" t="s">
        <v>222</v>
      </c>
      <c r="O1" s="107" t="s">
        <v>223</v>
      </c>
      <c r="P1" s="108" t="s">
        <v>219</v>
      </c>
      <c r="Q1" s="108" t="s">
        <v>224</v>
      </c>
      <c r="R1" s="109" t="s">
        <v>225</v>
      </c>
      <c r="S1" s="108" t="s">
        <v>226</v>
      </c>
      <c r="T1" s="108" t="s">
        <v>227</v>
      </c>
      <c r="U1" s="108" t="s">
        <v>228</v>
      </c>
      <c r="V1" s="107" t="s">
        <v>229</v>
      </c>
      <c r="W1" s="107" t="s">
        <v>230</v>
      </c>
      <c r="X1" s="108" t="s">
        <v>219</v>
      </c>
      <c r="Y1" s="107" t="s">
        <v>231</v>
      </c>
      <c r="Z1" s="110" t="s">
        <v>232</v>
      </c>
      <c r="AA1" s="110" t="s">
        <v>233</v>
      </c>
      <c r="AB1" s="110" t="s">
        <v>234</v>
      </c>
      <c r="AC1" s="110" t="s">
        <v>235</v>
      </c>
      <c r="AD1" s="108" t="s">
        <v>236</v>
      </c>
      <c r="AE1" s="109" t="s">
        <v>237</v>
      </c>
      <c r="AF1" s="108" t="s">
        <v>238</v>
      </c>
      <c r="AG1" s="108" t="s">
        <v>239</v>
      </c>
      <c r="AH1" s="108" t="s">
        <v>240</v>
      </c>
      <c r="AI1" s="111" t="s">
        <v>219</v>
      </c>
      <c r="AJ1" s="109" t="s">
        <v>241</v>
      </c>
      <c r="AK1" s="108" t="s">
        <v>242</v>
      </c>
      <c r="AL1" s="108" t="s">
        <v>243</v>
      </c>
      <c r="AM1" s="108" t="s">
        <v>244</v>
      </c>
      <c r="AN1" s="112" t="s">
        <v>245</v>
      </c>
      <c r="AO1" s="112" t="s">
        <v>246</v>
      </c>
      <c r="AP1" s="112" t="s">
        <v>247</v>
      </c>
      <c r="AQ1" s="112" t="s">
        <v>248</v>
      </c>
      <c r="AR1" s="112" t="s">
        <v>249</v>
      </c>
      <c r="AS1" s="112" t="s">
        <v>250</v>
      </c>
      <c r="AT1" s="108" t="s">
        <v>251</v>
      </c>
      <c r="AU1" s="109" t="s">
        <v>252</v>
      </c>
      <c r="AV1" s="108" t="s">
        <v>253</v>
      </c>
      <c r="AW1" s="108" t="s">
        <v>254</v>
      </c>
      <c r="AX1" s="108" t="s">
        <v>255</v>
      </c>
      <c r="AY1" s="112" t="s">
        <v>256</v>
      </c>
      <c r="AZ1" s="112" t="s">
        <v>257</v>
      </c>
      <c r="BA1" s="112" t="s">
        <v>258</v>
      </c>
      <c r="BB1" s="112" t="s">
        <v>259</v>
      </c>
      <c r="BC1" s="112" t="s">
        <v>260</v>
      </c>
      <c r="BD1" s="112" t="s">
        <v>261</v>
      </c>
      <c r="BE1" s="108" t="s">
        <v>262</v>
      </c>
      <c r="BF1" s="109" t="s">
        <v>263</v>
      </c>
      <c r="BG1" s="108" t="s">
        <v>264</v>
      </c>
      <c r="BH1" s="108" t="s">
        <v>265</v>
      </c>
      <c r="BI1" s="108" t="s">
        <v>266</v>
      </c>
      <c r="BJ1" s="113" t="s">
        <v>267</v>
      </c>
      <c r="BK1" s="113" t="s">
        <v>268</v>
      </c>
      <c r="BL1" s="114" t="s">
        <v>269</v>
      </c>
      <c r="BM1" s="112" t="s">
        <v>270</v>
      </c>
      <c r="BN1" s="112" t="s">
        <v>271</v>
      </c>
      <c r="BO1" s="112" t="s">
        <v>272</v>
      </c>
      <c r="BP1" s="112" t="s">
        <v>273</v>
      </c>
      <c r="BQ1" s="112" t="s">
        <v>274</v>
      </c>
      <c r="BR1" s="112" t="s">
        <v>275</v>
      </c>
      <c r="BS1" s="112" t="s">
        <v>275</v>
      </c>
      <c r="BT1" s="108" t="s">
        <v>262</v>
      </c>
      <c r="BU1" s="109" t="s">
        <v>263</v>
      </c>
      <c r="BV1" s="108" t="s">
        <v>264</v>
      </c>
      <c r="BW1" s="108" t="s">
        <v>276</v>
      </c>
      <c r="BX1" s="108" t="s">
        <v>277</v>
      </c>
    </row>
    <row r="2" customFormat="false" ht="15" hidden="true" customHeight="true" outlineLevel="0" collapsed="false">
      <c r="A2" s="115" t="s">
        <v>162</v>
      </c>
      <c r="B2" s="25" t="s">
        <v>278</v>
      </c>
      <c r="C2" s="23" t="s">
        <v>164</v>
      </c>
      <c r="D2" s="24" t="s">
        <v>165</v>
      </c>
      <c r="E2" s="25" t="s">
        <v>166</v>
      </c>
      <c r="F2" s="116"/>
      <c r="G2" s="116"/>
      <c r="H2" s="116"/>
      <c r="I2" s="116"/>
      <c r="J2" s="116"/>
      <c r="K2" s="117"/>
      <c r="L2" s="117"/>
      <c r="M2" s="117"/>
      <c r="N2" s="117"/>
      <c r="O2" s="117"/>
      <c r="P2" s="117"/>
      <c r="Q2" s="116" t="n">
        <v>0</v>
      </c>
      <c r="R2" s="1" t="n">
        <f aca="false">SUM(N2:P2)</f>
        <v>0</v>
      </c>
      <c r="S2" s="1" t="n">
        <v>0</v>
      </c>
      <c r="T2" s="86" t="n">
        <v>0</v>
      </c>
      <c r="U2" s="86" t="n">
        <v>0</v>
      </c>
      <c r="V2" s="117"/>
      <c r="W2" s="117"/>
      <c r="X2" s="117"/>
      <c r="Y2" s="118"/>
      <c r="Z2" s="119"/>
      <c r="AA2" s="119" t="n">
        <v>28</v>
      </c>
      <c r="AB2" s="119" t="n">
        <v>22</v>
      </c>
      <c r="AC2" s="119" t="n">
        <v>39</v>
      </c>
      <c r="AD2" s="116" t="n">
        <v>6</v>
      </c>
      <c r="AE2" s="1" t="n">
        <f aca="false">SUM(AA2:AC2)</f>
        <v>89</v>
      </c>
      <c r="AF2" s="1" t="n">
        <v>3</v>
      </c>
      <c r="AG2" s="86" t="n">
        <f aca="false">AE2/AF2</f>
        <v>29.6666666666667</v>
      </c>
      <c r="AH2" s="86" t="n">
        <f aca="false">AG2*2</f>
        <v>59.3333333333333</v>
      </c>
      <c r="AI2" s="119" t="n">
        <v>6</v>
      </c>
      <c r="AJ2" s="120" t="n">
        <f aca="false">F2+G2+H2+I2+K2+L2+N2+O2+V2+W2+Y2+Z2+AA2+AB2+AC2</f>
        <v>89</v>
      </c>
      <c r="AK2" s="1" t="n">
        <v>3</v>
      </c>
      <c r="AL2" s="121" t="n">
        <f aca="false">AJ2/AK2</f>
        <v>29.6666666666667</v>
      </c>
      <c r="AM2" s="121" t="n">
        <f aca="false">AL2*2</f>
        <v>59.3333333333333</v>
      </c>
      <c r="AN2" s="1" t="n">
        <v>13</v>
      </c>
      <c r="AO2" s="1" t="n">
        <v>27</v>
      </c>
      <c r="AP2" s="1" t="n">
        <v>33</v>
      </c>
      <c r="AQ2" s="1" t="n">
        <v>22</v>
      </c>
      <c r="AR2" s="1" t="n">
        <v>12</v>
      </c>
      <c r="AS2" s="1" t="n">
        <v>42</v>
      </c>
      <c r="AT2" s="116" t="n">
        <v>4</v>
      </c>
      <c r="AU2" s="1" t="n">
        <f aca="false">SUM(AN2:AS2)</f>
        <v>149</v>
      </c>
      <c r="AV2" s="1" t="n">
        <v>6</v>
      </c>
      <c r="AW2" s="86" t="n">
        <f aca="false">AU2/AV2</f>
        <v>24.8333333333333</v>
      </c>
      <c r="AX2" s="86" t="n">
        <f aca="false">AW2*2</f>
        <v>49.6666666666667</v>
      </c>
      <c r="AY2" s="122" t="n">
        <v>29</v>
      </c>
      <c r="AZ2" s="122" t="n">
        <v>23</v>
      </c>
      <c r="BA2" s="1" t="n">
        <v>14</v>
      </c>
      <c r="BB2" s="122" t="n">
        <v>13</v>
      </c>
      <c r="BC2" s="122" t="n">
        <v>27</v>
      </c>
      <c r="BD2" s="1" t="n">
        <v>32</v>
      </c>
      <c r="BE2" s="1" t="n">
        <v>4</v>
      </c>
      <c r="BF2" s="122" t="n">
        <f aca="false">SUM(AY2:BD2)</f>
        <v>138</v>
      </c>
      <c r="BG2" s="1" t="n">
        <v>6</v>
      </c>
      <c r="BH2" s="123" t="n">
        <f aca="false">BF2/BG2</f>
        <v>23</v>
      </c>
      <c r="BI2" s="123" t="n">
        <f aca="false">BH2*2</f>
        <v>46</v>
      </c>
      <c r="BJ2" s="124" t="str">
        <f aca="false">IF(OR($D2="",$AW2="",$BH2=""),"",IFERROR(IF(VALUE($BH2)&gt;VALUE($AW2),"▲ "&amp;TEXT(VALUE($BH2)-VALUE($AW2),"0.00"),IF(VALUE($BH2)&lt;VALUE($AW2),"▼ "&amp;TEXT(VALUE($AW2)-VALUE($BH2),"0.00"),"● 0.00")),""))</f>
        <v>▼ 1.83</v>
      </c>
      <c r="BK2" s="1" t="n">
        <f aca="false">SUM(AN2:AQ2)/4</f>
        <v>23.75</v>
      </c>
      <c r="BL2" s="125" t="str">
        <f aca="false">IF(OR(BK2="",BH2="",NOT(ISNUMBER(BK2)),NOT(ISNUMBER(BH2))),"",IF(BH2&gt;BK2,"▲ "&amp;TEXT(ABS(BH2-BK2),"0.00"),IF(BH2&lt;BK2,"▼ "&amp;TEXT(ABS(BH2-BK2),"0.00"),"● 0.00")))</f>
        <v>▼ 0.75</v>
      </c>
      <c r="BM2" s="122" t="n">
        <v>32</v>
      </c>
      <c r="BN2" s="122" t="n">
        <v>29</v>
      </c>
      <c r="BP2" s="122"/>
      <c r="BQ2" s="122"/>
      <c r="BT2" s="1" t="n">
        <v>4</v>
      </c>
      <c r="BU2" s="122" t="n">
        <f aca="false">SUM(BM2:BS2)</f>
        <v>61</v>
      </c>
      <c r="BV2" s="1" t="n">
        <v>2</v>
      </c>
      <c r="BW2" s="123" t="n">
        <f aca="false">BU2/BV2</f>
        <v>30.5</v>
      </c>
      <c r="BX2" s="123" t="n">
        <f aca="false">BW2*2</f>
        <v>61</v>
      </c>
    </row>
    <row r="3" customFormat="false" ht="15" hidden="true" customHeight="true" outlineLevel="0" collapsed="false">
      <c r="A3" s="115" t="s">
        <v>162</v>
      </c>
      <c r="B3" s="25" t="s">
        <v>278</v>
      </c>
      <c r="C3" s="23" t="s">
        <v>164</v>
      </c>
      <c r="D3" s="24" t="s">
        <v>167</v>
      </c>
      <c r="E3" s="25" t="s">
        <v>166</v>
      </c>
      <c r="F3" s="116" t="n">
        <v>67</v>
      </c>
      <c r="G3" s="116" t="n">
        <v>74</v>
      </c>
      <c r="H3" s="116" t="n">
        <v>75</v>
      </c>
      <c r="I3" s="116" t="n">
        <v>55</v>
      </c>
      <c r="J3" s="116" t="n">
        <v>7</v>
      </c>
      <c r="K3" s="117" t="n">
        <v>49</v>
      </c>
      <c r="L3" s="117" t="n">
        <v>54</v>
      </c>
      <c r="M3" s="117" t="n">
        <v>6</v>
      </c>
      <c r="N3" s="117" t="n">
        <v>54</v>
      </c>
      <c r="O3" s="117" t="n">
        <v>56</v>
      </c>
      <c r="P3" s="117" t="n">
        <v>6</v>
      </c>
      <c r="Q3" s="126" t="n">
        <v>6.5</v>
      </c>
      <c r="R3" s="1" t="n">
        <f aca="false">SUM(H3:O3)</f>
        <v>356</v>
      </c>
      <c r="S3" s="1" t="n">
        <v>6</v>
      </c>
      <c r="T3" s="86" t="n">
        <f aca="false">R3/S3</f>
        <v>59.3333333333333</v>
      </c>
      <c r="U3" s="86" t="n">
        <f aca="false">T3*2</f>
        <v>118.666666666667</v>
      </c>
      <c r="V3" s="117" t="n">
        <v>59</v>
      </c>
      <c r="W3" s="117" t="n">
        <v>53</v>
      </c>
      <c r="X3" s="117" t="n">
        <v>6.5</v>
      </c>
      <c r="Y3" s="118" t="n">
        <v>52</v>
      </c>
      <c r="Z3" s="119" t="n">
        <v>67</v>
      </c>
      <c r="AA3" s="119" t="n">
        <v>69</v>
      </c>
      <c r="AB3" s="119" t="n">
        <v>55</v>
      </c>
      <c r="AC3" s="119" t="n">
        <v>24</v>
      </c>
      <c r="AD3" s="126" t="n">
        <v>6.5</v>
      </c>
      <c r="AE3" s="1" t="n">
        <f aca="false">SUM(V3:AC3)</f>
        <v>385.5</v>
      </c>
      <c r="AF3" s="1" t="n">
        <v>7</v>
      </c>
      <c r="AG3" s="86" t="n">
        <f aca="false">AE3/AF3</f>
        <v>55.0714285714286</v>
      </c>
      <c r="AH3" s="86" t="n">
        <f aca="false">AG3*2</f>
        <v>110.142857142857</v>
      </c>
      <c r="AI3" s="119" t="n">
        <v>6.5</v>
      </c>
      <c r="AJ3" s="120" t="n">
        <f aca="false">F3+G3+H3+I3+K3+L3+N3+O3+V3+W3+Y3+Z3+AA3+AB3+AC3</f>
        <v>863</v>
      </c>
      <c r="AK3" s="1" t="n">
        <v>15</v>
      </c>
      <c r="AL3" s="121" t="n">
        <f aca="false">AJ3/AK3</f>
        <v>57.5333333333333</v>
      </c>
      <c r="AM3" s="121" t="n">
        <f aca="false">AL3*2</f>
        <v>115.066666666667</v>
      </c>
      <c r="AN3" s="1" t="n">
        <v>43</v>
      </c>
      <c r="AO3" s="1" t="n">
        <v>40</v>
      </c>
      <c r="AP3" s="1" t="n">
        <v>46</v>
      </c>
      <c r="AQ3" s="1" t="n">
        <v>52</v>
      </c>
      <c r="AR3" s="1" t="n">
        <v>49</v>
      </c>
      <c r="AS3" s="1" t="n">
        <v>52</v>
      </c>
      <c r="AT3" s="126" t="n">
        <v>5.5</v>
      </c>
      <c r="AU3" s="1" t="n">
        <f aca="false">SUM(AN3:AS3)</f>
        <v>282</v>
      </c>
      <c r="AV3" s="1" t="n">
        <v>6</v>
      </c>
      <c r="AW3" s="86" t="n">
        <f aca="false">AU3/AV3</f>
        <v>47</v>
      </c>
      <c r="AX3" s="86" t="n">
        <f aca="false">AW3*2</f>
        <v>94</v>
      </c>
      <c r="AY3" s="122" t="n">
        <v>50</v>
      </c>
      <c r="AZ3" s="122" t="n">
        <v>53</v>
      </c>
      <c r="BA3" s="1" t="n">
        <v>53</v>
      </c>
      <c r="BB3" s="122" t="n">
        <v>52</v>
      </c>
      <c r="BC3" s="122" t="n">
        <v>53</v>
      </c>
      <c r="BD3" s="1" t="n">
        <v>59</v>
      </c>
      <c r="BE3" s="1" t="n">
        <v>5</v>
      </c>
      <c r="BF3" s="122" t="n">
        <f aca="false">SUM(AY3:BD3)</f>
        <v>320</v>
      </c>
      <c r="BG3" s="1" t="n">
        <v>6</v>
      </c>
      <c r="BH3" s="123" t="n">
        <f aca="false">BF3/BG3</f>
        <v>53.3333333333333</v>
      </c>
      <c r="BI3" s="123" t="n">
        <f aca="false">BH3*2</f>
        <v>106.666666666667</v>
      </c>
      <c r="BJ3" s="124" t="str">
        <f aca="false">IF(OR($D3="",$AW3="",$BH3=""),"",IFERROR(IF(VALUE($BH3)&gt;VALUE($AW3),"▲ "&amp;TEXT(VALUE($BH3)-VALUE($AW3),"0.00"),IF(VALUE($BH3)&lt;VALUE($AW3),"▼ "&amp;TEXT(VALUE($AW3)-VALUE($BH3),"0.00"),"● 0.00")),""))</f>
        <v>▲ 6.33</v>
      </c>
      <c r="BK3" s="1" t="n">
        <f aca="false">SUM(AN3:AQ3)/4</f>
        <v>45.25</v>
      </c>
      <c r="BL3" s="125" t="str">
        <f aca="false">IF(OR(BK3="",BH3="",NOT(ISNUMBER(BK3)),NOT(ISNUMBER(BH3))),"",IF(BH3&gt;BK3,"▲ "&amp;TEXT(ABS(BH3-BK3),"0.00"),IF(BH3&lt;BK3,"▼ "&amp;TEXT(ABS(BH3-BK3),"0.00"),"● 0.00")))</f>
        <v>▲ 8.08</v>
      </c>
      <c r="BM3" s="122" t="n">
        <v>54</v>
      </c>
      <c r="BN3" s="122" t="n">
        <v>69</v>
      </c>
      <c r="BO3" s="1" t="n">
        <v>51</v>
      </c>
      <c r="BP3" s="122"/>
      <c r="BQ3" s="122"/>
      <c r="BT3" s="1" t="n">
        <v>5</v>
      </c>
      <c r="BU3" s="122" t="n">
        <f aca="false">SUM(BM3:BS3)</f>
        <v>174</v>
      </c>
      <c r="BV3" s="1" t="n">
        <v>3</v>
      </c>
      <c r="BW3" s="123" t="n">
        <f aca="false">BU3/BV3</f>
        <v>58</v>
      </c>
      <c r="BX3" s="123" t="n">
        <f aca="false">BW3*2</f>
        <v>116</v>
      </c>
    </row>
    <row r="4" customFormat="false" ht="15" hidden="true" customHeight="true" outlineLevel="0" collapsed="false">
      <c r="A4" s="115" t="s">
        <v>162</v>
      </c>
      <c r="B4" s="25" t="s">
        <v>278</v>
      </c>
      <c r="C4" s="23" t="s">
        <v>168</v>
      </c>
      <c r="D4" s="25" t="s">
        <v>169</v>
      </c>
      <c r="E4" s="25" t="s">
        <v>166</v>
      </c>
      <c r="F4" s="116" t="n">
        <v>28</v>
      </c>
      <c r="G4" s="116" t="n">
        <v>28</v>
      </c>
      <c r="H4" s="116" t="n">
        <v>20</v>
      </c>
      <c r="I4" s="116" t="n">
        <v>26</v>
      </c>
      <c r="J4" s="116" t="n">
        <v>9</v>
      </c>
      <c r="K4" s="117" t="n">
        <v>30</v>
      </c>
      <c r="L4" s="117" t="n">
        <v>27</v>
      </c>
      <c r="M4" s="117" t="n">
        <v>9</v>
      </c>
      <c r="N4" s="117" t="n">
        <v>22</v>
      </c>
      <c r="O4" s="117" t="n">
        <v>39</v>
      </c>
      <c r="P4" s="117" t="n">
        <v>9</v>
      </c>
      <c r="Q4" s="118" t="n">
        <v>9</v>
      </c>
      <c r="R4" s="1" t="n">
        <f aca="false">SUM(H4:O4)</f>
        <v>182</v>
      </c>
      <c r="S4" s="1" t="n">
        <v>6</v>
      </c>
      <c r="T4" s="86" t="n">
        <f aca="false">R4/S4</f>
        <v>30.3333333333333</v>
      </c>
      <c r="U4" s="86" t="n">
        <f aca="false">T4*2</f>
        <v>60.6666666666667</v>
      </c>
      <c r="V4" s="117" t="n">
        <v>35</v>
      </c>
      <c r="W4" s="117" t="n">
        <v>45</v>
      </c>
      <c r="X4" s="117" t="n">
        <v>9</v>
      </c>
      <c r="Y4" s="118" t="n">
        <v>36</v>
      </c>
      <c r="Z4" s="119" t="n">
        <v>32</v>
      </c>
      <c r="AA4" s="119" t="n">
        <v>36.5</v>
      </c>
      <c r="AB4" s="119" t="n">
        <v>35.5</v>
      </c>
      <c r="AC4" s="119" t="n">
        <v>46</v>
      </c>
      <c r="AD4" s="118" t="n">
        <v>9</v>
      </c>
      <c r="AE4" s="1" t="n">
        <f aca="false">SUM(V4:AC4)</f>
        <v>275</v>
      </c>
      <c r="AF4" s="1" t="n">
        <v>7</v>
      </c>
      <c r="AG4" s="86" t="n">
        <f aca="false">AE4/AF4</f>
        <v>39.2857142857143</v>
      </c>
      <c r="AH4" s="86" t="n">
        <f aca="false">AG4*2</f>
        <v>78.5714285714286</v>
      </c>
      <c r="AI4" s="119" t="n">
        <v>9</v>
      </c>
      <c r="AJ4" s="120" t="n">
        <f aca="false">F4+G4+H4+I4+K4+L4+N4+O4+V4+W4+Y4+Z4+AA4+AB4+AC4</f>
        <v>486</v>
      </c>
      <c r="AK4" s="1" t="n">
        <v>15</v>
      </c>
      <c r="AL4" s="121" t="n">
        <f aca="false">AJ4/AK4</f>
        <v>32.4</v>
      </c>
      <c r="AM4" s="121" t="n">
        <f aca="false">AL4*2</f>
        <v>64.8</v>
      </c>
      <c r="AN4" s="1" t="n">
        <v>27</v>
      </c>
      <c r="AO4" s="1" t="n">
        <v>39</v>
      </c>
      <c r="AP4" s="1" t="n">
        <v>36</v>
      </c>
      <c r="AQ4" s="1" t="n">
        <v>39</v>
      </c>
      <c r="AR4" s="1" t="n">
        <v>38</v>
      </c>
      <c r="AS4" s="1" t="n">
        <v>32</v>
      </c>
      <c r="AT4" s="118" t="n">
        <v>9</v>
      </c>
      <c r="AU4" s="1" t="n">
        <f aca="false">SUM(AN4:AS4)</f>
        <v>211</v>
      </c>
      <c r="AV4" s="1" t="n">
        <v>6</v>
      </c>
      <c r="AW4" s="86" t="n">
        <f aca="false">AU4/AV4</f>
        <v>35.1666666666667</v>
      </c>
      <c r="AX4" s="86" t="n">
        <f aca="false">AW4*2</f>
        <v>70.3333333333333</v>
      </c>
      <c r="AY4" s="122" t="n">
        <v>37</v>
      </c>
      <c r="AZ4" s="122" t="n">
        <v>34</v>
      </c>
      <c r="BA4" s="1" t="n">
        <v>37</v>
      </c>
      <c r="BB4" s="122" t="n">
        <v>44</v>
      </c>
      <c r="BC4" s="1" t="n">
        <v>48</v>
      </c>
      <c r="BD4" s="1" t="n">
        <v>48.5</v>
      </c>
      <c r="BE4" s="1" t="n">
        <v>9</v>
      </c>
      <c r="BF4" s="122" t="n">
        <f aca="false">SUM(AY4:BD4)</f>
        <v>248.5</v>
      </c>
      <c r="BG4" s="1" t="n">
        <v>6</v>
      </c>
      <c r="BH4" s="123" t="n">
        <f aca="false">BF4/BG4</f>
        <v>41.4166666666667</v>
      </c>
      <c r="BI4" s="123" t="n">
        <f aca="false">BH4*2</f>
        <v>82.8333333333333</v>
      </c>
      <c r="BJ4" s="124" t="str">
        <f aca="false">IF(OR($D4="",$AW4="",$BH4=""),"",IFERROR(IF(VALUE($BH4)&gt;VALUE($AW4),"▲ "&amp;TEXT(VALUE($BH4)-VALUE($AW4),"0.00"),IF(VALUE($BH4)&lt;VALUE($AW4),"▼ "&amp;TEXT(VALUE($AW4)-VALUE($BH4),"0.00"),"● 0.00")),""))</f>
        <v>▲ 6.25</v>
      </c>
      <c r="BK4" s="1" t="n">
        <f aca="false">SUM(AN4:AQ4)/4</f>
        <v>35.25</v>
      </c>
      <c r="BL4" s="125" t="str">
        <f aca="false">IF(OR(BK4="",BH4="",NOT(ISNUMBER(BK4)),NOT(ISNUMBER(BH4))),"",IF(BH4&gt;BK4,"▲ "&amp;TEXT(ABS(BH4-BK4),"0.00"),IF(BH4&lt;BK4,"▼ "&amp;TEXT(ABS(BH4-BK4),"0.00"),"● 0.00")))</f>
        <v>▲ 6.17</v>
      </c>
      <c r="BM4" s="122" t="n">
        <v>45</v>
      </c>
      <c r="BN4" s="122" t="n">
        <v>50</v>
      </c>
      <c r="BO4" s="1" t="n">
        <v>51</v>
      </c>
      <c r="BP4" s="122"/>
      <c r="BT4" s="1" t="n">
        <v>9</v>
      </c>
      <c r="BU4" s="122" t="n">
        <f aca="false">SUM(BM4:BS4)</f>
        <v>146</v>
      </c>
      <c r="BV4" s="1" t="n">
        <v>3</v>
      </c>
      <c r="BW4" s="123" t="n">
        <f aca="false">BU4/BV4</f>
        <v>48.6666666666667</v>
      </c>
      <c r="BX4" s="123" t="n">
        <f aca="false">BW4*2</f>
        <v>97.3333333333333</v>
      </c>
    </row>
    <row r="5" customFormat="false" ht="15" hidden="true" customHeight="true" outlineLevel="0" collapsed="false">
      <c r="A5" s="115" t="s">
        <v>162</v>
      </c>
      <c r="B5" s="25" t="s">
        <v>278</v>
      </c>
      <c r="C5" s="23" t="s">
        <v>168</v>
      </c>
      <c r="D5" s="31" t="s">
        <v>170</v>
      </c>
      <c r="E5" s="25" t="s">
        <v>166</v>
      </c>
      <c r="F5" s="127" t="n">
        <v>8.5</v>
      </c>
      <c r="G5" s="127" t="n">
        <v>8</v>
      </c>
      <c r="H5" s="127" t="n">
        <v>10.5</v>
      </c>
      <c r="I5" s="127" t="n">
        <v>10</v>
      </c>
      <c r="J5" s="127" t="n">
        <v>2</v>
      </c>
      <c r="K5" s="128" t="n">
        <v>8.5</v>
      </c>
      <c r="L5" s="128" t="n">
        <v>8</v>
      </c>
      <c r="M5" s="128" t="n">
        <v>2</v>
      </c>
      <c r="N5" s="128" t="n">
        <v>6.5</v>
      </c>
      <c r="O5" s="128" t="n">
        <v>9.5</v>
      </c>
      <c r="P5" s="128" t="n">
        <v>2</v>
      </c>
      <c r="Q5" s="129" t="n">
        <v>2</v>
      </c>
      <c r="R5" s="1" t="n">
        <f aca="false">SUM(H5:O5)</f>
        <v>57</v>
      </c>
      <c r="S5" s="1" t="n">
        <v>6</v>
      </c>
      <c r="T5" s="86" t="n">
        <f aca="false">R5/S5</f>
        <v>9.5</v>
      </c>
      <c r="U5" s="86" t="n">
        <f aca="false">T5*2</f>
        <v>19</v>
      </c>
      <c r="V5" s="128" t="n">
        <v>8.5</v>
      </c>
      <c r="W5" s="128" t="n">
        <v>8</v>
      </c>
      <c r="X5" s="128" t="n">
        <v>2</v>
      </c>
      <c r="Y5" s="130" t="n">
        <v>7</v>
      </c>
      <c r="Z5" s="129" t="n">
        <v>10</v>
      </c>
      <c r="AA5" s="119" t="n">
        <v>9</v>
      </c>
      <c r="AB5" s="119" t="n">
        <v>8.5</v>
      </c>
      <c r="AC5" s="119" t="n">
        <v>8</v>
      </c>
      <c r="AD5" s="129" t="n">
        <v>2</v>
      </c>
      <c r="AE5" s="1" t="n">
        <f aca="false">SUM(V5:AC5)</f>
        <v>61</v>
      </c>
      <c r="AF5" s="1" t="n">
        <v>7</v>
      </c>
      <c r="AG5" s="86" t="n">
        <f aca="false">AE5/AF5</f>
        <v>8.71428571428571</v>
      </c>
      <c r="AH5" s="86" t="n">
        <f aca="false">AG5*2</f>
        <v>17.4285714285714</v>
      </c>
      <c r="AI5" s="119" t="n">
        <v>2</v>
      </c>
      <c r="AJ5" s="120" t="n">
        <f aca="false">F5+G5+H5+I5+K5+L5+N5+O5+V5+W5+Y5+Z5+AA5+AB5+AC5</f>
        <v>128.5</v>
      </c>
      <c r="AK5" s="1" t="n">
        <v>15</v>
      </c>
      <c r="AL5" s="121" t="n">
        <f aca="false">AJ5/AK5</f>
        <v>8.56666666666667</v>
      </c>
      <c r="AM5" s="121" t="n">
        <f aca="false">AL5*2</f>
        <v>17.1333333333333</v>
      </c>
      <c r="AN5" s="1" t="n">
        <v>6.5</v>
      </c>
      <c r="AO5" s="1" t="n">
        <v>8.5</v>
      </c>
      <c r="AP5" s="1" t="n">
        <v>9.5</v>
      </c>
      <c r="AQ5" s="1" t="n">
        <v>10</v>
      </c>
      <c r="AR5" s="1" t="n">
        <v>12</v>
      </c>
      <c r="AS5" s="1" t="n">
        <v>6.5</v>
      </c>
      <c r="AT5" s="129" t="n">
        <v>2</v>
      </c>
      <c r="AU5" s="1" t="n">
        <f aca="false">SUM(AN5:AS5)</f>
        <v>53</v>
      </c>
      <c r="AV5" s="1" t="n">
        <v>6</v>
      </c>
      <c r="AW5" s="86" t="n">
        <f aca="false">AU5/AV5</f>
        <v>8.83333333333333</v>
      </c>
      <c r="AX5" s="86" t="n">
        <f aca="false">AW5*2</f>
        <v>17.6666666666667</v>
      </c>
      <c r="AY5" s="122" t="n">
        <v>8.5</v>
      </c>
      <c r="AZ5" s="122" t="n">
        <v>8</v>
      </c>
      <c r="BA5" s="1" t="n">
        <v>9</v>
      </c>
      <c r="BB5" s="122" t="n">
        <v>10</v>
      </c>
      <c r="BC5" s="1" t="n">
        <v>8</v>
      </c>
      <c r="BD5" s="1" t="n">
        <v>8</v>
      </c>
      <c r="BE5" s="1" t="n">
        <v>2</v>
      </c>
      <c r="BF5" s="122" t="n">
        <f aca="false">SUM(AY5:BD5)</f>
        <v>51.5</v>
      </c>
      <c r="BG5" s="1" t="n">
        <v>6</v>
      </c>
      <c r="BH5" s="123" t="n">
        <f aca="false">BF5/BG5</f>
        <v>8.58333333333333</v>
      </c>
      <c r="BI5" s="123" t="n">
        <f aca="false">BH5*2</f>
        <v>17.1666666666667</v>
      </c>
      <c r="BJ5" s="124" t="str">
        <f aca="false">IF(OR($D5="",$AW5="",$BH5=""),"",IFERROR(IF(VALUE($BH5)&gt;VALUE($AW5),"▲ "&amp;TEXT(VALUE($BH5)-VALUE($AW5),"0.00"),IF(VALUE($BH5)&lt;VALUE($AW5),"▼ "&amp;TEXT(VALUE($AW5)-VALUE($BH5),"0.00"),"● 0.00")),""))</f>
        <v>▼ 0.25</v>
      </c>
      <c r="BK5" s="1" t="n">
        <f aca="false">SUM(AN5:AQ5)/4</f>
        <v>8.625</v>
      </c>
      <c r="BL5" s="125" t="str">
        <f aca="false">IF(OR(BK5="",BH5="",NOT(ISNUMBER(BK5)),NOT(ISNUMBER(BH5))),"",IF(BH5&gt;BK5,"▲ "&amp;TEXT(ABS(BH5-BK5),"0.00"),IF(BH5&lt;BK5,"▼ "&amp;TEXT(ABS(BH5-BK5),"0.00"),"● 0.00")))</f>
        <v>▼ 0.04</v>
      </c>
      <c r="BM5" s="122" t="n">
        <v>6.5</v>
      </c>
      <c r="BN5" s="122" t="n">
        <v>10</v>
      </c>
      <c r="BO5" s="1" t="n">
        <v>10.5</v>
      </c>
      <c r="BP5" s="122"/>
      <c r="BT5" s="1" t="n">
        <v>2</v>
      </c>
      <c r="BU5" s="122" t="n">
        <f aca="false">SUM(BM5:BS5)</f>
        <v>27</v>
      </c>
      <c r="BV5" s="1" t="n">
        <v>3</v>
      </c>
      <c r="BW5" s="123" t="n">
        <f aca="false">BU5/BV5</f>
        <v>9</v>
      </c>
      <c r="BX5" s="123" t="n">
        <f aca="false">BW5*2</f>
        <v>18</v>
      </c>
    </row>
    <row r="6" customFormat="false" ht="15" hidden="false" customHeight="true" outlineLevel="0" collapsed="false">
      <c r="A6" s="115" t="s">
        <v>162</v>
      </c>
      <c r="B6" s="25" t="s">
        <v>278</v>
      </c>
      <c r="C6" s="23" t="s">
        <v>168</v>
      </c>
      <c r="D6" s="25" t="s">
        <v>171</v>
      </c>
      <c r="E6" s="25" t="s">
        <v>166</v>
      </c>
      <c r="F6" s="127" t="n">
        <v>47</v>
      </c>
      <c r="G6" s="116" t="n">
        <v>43</v>
      </c>
      <c r="H6" s="127" t="n">
        <v>60</v>
      </c>
      <c r="I6" s="116" t="n">
        <v>75</v>
      </c>
      <c r="J6" s="127" t="n">
        <v>6</v>
      </c>
      <c r="K6" s="128" t="n">
        <v>80</v>
      </c>
      <c r="L6" s="128" t="n">
        <v>47</v>
      </c>
      <c r="M6" s="128" t="n">
        <v>6</v>
      </c>
      <c r="N6" s="128" t="n">
        <v>82</v>
      </c>
      <c r="O6" s="128" t="n">
        <v>67</v>
      </c>
      <c r="P6" s="128" t="n">
        <v>6</v>
      </c>
      <c r="Q6" s="131" t="n">
        <v>5</v>
      </c>
      <c r="R6" s="1" t="n">
        <f aca="false">SUM(H6:O6)</f>
        <v>423</v>
      </c>
      <c r="S6" s="1" t="n">
        <v>6</v>
      </c>
      <c r="T6" s="86" t="n">
        <f aca="false">R6/S6</f>
        <v>70.5</v>
      </c>
      <c r="U6" s="86" t="n">
        <f aca="false">T6*2</f>
        <v>141</v>
      </c>
      <c r="V6" s="128" t="n">
        <v>56</v>
      </c>
      <c r="W6" s="128" t="n">
        <v>57</v>
      </c>
      <c r="X6" s="132" t="n">
        <v>5</v>
      </c>
      <c r="Y6" s="130" t="n">
        <v>54</v>
      </c>
      <c r="Z6" s="133" t="n">
        <v>50</v>
      </c>
      <c r="AA6" s="119" t="n">
        <v>60</v>
      </c>
      <c r="AB6" s="119" t="n">
        <v>55</v>
      </c>
      <c r="AC6" s="119" t="n">
        <v>36</v>
      </c>
      <c r="AD6" s="131" t="n">
        <v>5</v>
      </c>
      <c r="AE6" s="1" t="n">
        <f aca="false">SUM(V6:AC6)</f>
        <v>373</v>
      </c>
      <c r="AF6" s="1" t="n">
        <v>7</v>
      </c>
      <c r="AG6" s="86" t="n">
        <f aca="false">AE6/AF6</f>
        <v>53.2857142857143</v>
      </c>
      <c r="AH6" s="86" t="n">
        <f aca="false">AG6*2</f>
        <v>106.571428571429</v>
      </c>
      <c r="AI6" s="119" t="n">
        <v>5</v>
      </c>
      <c r="AJ6" s="120" t="n">
        <f aca="false">F6+G6+H6+I6+K6+L6+N6+O6+V6+W6+Y6+Z6+AA6+AB6+AC6</f>
        <v>869</v>
      </c>
      <c r="AK6" s="1" t="n">
        <v>15</v>
      </c>
      <c r="AL6" s="121" t="n">
        <f aca="false">AJ6/AK6</f>
        <v>57.9333333333333</v>
      </c>
      <c r="AM6" s="121" t="n">
        <f aca="false">AL6*2</f>
        <v>115.866666666667</v>
      </c>
      <c r="AN6" s="1" t="n">
        <v>57</v>
      </c>
      <c r="AO6" s="1" t="n">
        <v>65</v>
      </c>
      <c r="AP6" s="1" t="n">
        <v>63</v>
      </c>
      <c r="AQ6" s="1" t="n">
        <v>60</v>
      </c>
      <c r="AR6" s="1" t="n">
        <v>62</v>
      </c>
      <c r="AS6" s="1" t="n">
        <v>67</v>
      </c>
      <c r="AT6" s="131" t="n">
        <v>5</v>
      </c>
      <c r="AU6" s="1" t="n">
        <f aca="false">SUM(AN6:AS6)</f>
        <v>374</v>
      </c>
      <c r="AV6" s="1" t="n">
        <v>6</v>
      </c>
      <c r="AW6" s="86" t="n">
        <f aca="false">AU6/AV6</f>
        <v>62.3333333333333</v>
      </c>
      <c r="AX6" s="86" t="n">
        <f aca="false">AW6*2</f>
        <v>124.666666666667</v>
      </c>
      <c r="AY6" s="122" t="n">
        <v>64</v>
      </c>
      <c r="AZ6" s="122" t="n">
        <v>71</v>
      </c>
      <c r="BA6" s="1" t="n">
        <v>66</v>
      </c>
      <c r="BB6" s="122" t="n">
        <v>70</v>
      </c>
      <c r="BC6" s="1" t="n">
        <v>60</v>
      </c>
      <c r="BD6" s="1" t="n">
        <v>60</v>
      </c>
      <c r="BE6" s="1" t="n">
        <v>5</v>
      </c>
      <c r="BF6" s="122" t="n">
        <f aca="false">SUM(AY6:BD6)</f>
        <v>391</v>
      </c>
      <c r="BG6" s="1" t="n">
        <v>6</v>
      </c>
      <c r="BH6" s="123" t="n">
        <f aca="false">BF6/BG6</f>
        <v>65.1666666666667</v>
      </c>
      <c r="BI6" s="123" t="n">
        <f aca="false">BH6*2</f>
        <v>130.333333333333</v>
      </c>
      <c r="BJ6" s="124" t="str">
        <f aca="false">IF(OR($D6="",$AW6="",$BH6=""),"",IFERROR(IF(VALUE($BH6)&gt;VALUE($AW6),"▲ "&amp;TEXT(VALUE($BH6)-VALUE($AW6),"0.00"),IF(VALUE($BH6)&lt;VALUE($AW6),"▼ "&amp;TEXT(VALUE($AW6)-VALUE($BH6),"0.00"),"● 0.00")),""))</f>
        <v>▲ 2.83</v>
      </c>
      <c r="BK6" s="1" t="n">
        <f aca="false">SUM(AN6:AQ6)/4</f>
        <v>61.25</v>
      </c>
      <c r="BL6" s="125" t="str">
        <f aca="false">IF(OR(BK6="",BH6="",NOT(ISNUMBER(BK6)),NOT(ISNUMBER(BH6))),"",IF(BH6&gt;BK6,"▲ "&amp;TEXT(ABS(BH6-BK6),"0.00"),IF(BH6&lt;BK6,"▼ "&amp;TEXT(ABS(BH6-BK6),"0.00"),"● 0.00")))</f>
        <v>▲ 3.92</v>
      </c>
      <c r="BM6" s="122" t="n">
        <v>66</v>
      </c>
      <c r="BN6" s="122" t="n">
        <v>56</v>
      </c>
      <c r="BO6" s="1" t="n">
        <v>60</v>
      </c>
      <c r="BP6" s="122"/>
      <c r="BT6" s="1" t="n">
        <v>4</v>
      </c>
      <c r="BU6" s="122" t="n">
        <f aca="false">SUM(BM6:BS6)</f>
        <v>182</v>
      </c>
      <c r="BV6" s="1" t="n">
        <v>3</v>
      </c>
      <c r="BW6" s="123" t="n">
        <f aca="false">BU6/BV6</f>
        <v>60.6666666666667</v>
      </c>
      <c r="BX6" s="123" t="n">
        <f aca="false">BW6*2</f>
        <v>121.333333333333</v>
      </c>
    </row>
    <row r="7" customFormat="false" ht="15" hidden="false" customHeight="true" outlineLevel="0" collapsed="false">
      <c r="A7" s="115" t="s">
        <v>162</v>
      </c>
      <c r="B7" s="25" t="s">
        <v>278</v>
      </c>
      <c r="C7" s="23" t="s">
        <v>168</v>
      </c>
      <c r="D7" s="25" t="s">
        <v>172</v>
      </c>
      <c r="E7" s="25" t="s">
        <v>166</v>
      </c>
      <c r="F7" s="134" t="n">
        <v>42</v>
      </c>
      <c r="G7" s="116" t="n">
        <v>38</v>
      </c>
      <c r="H7" s="134" t="n">
        <v>44</v>
      </c>
      <c r="I7" s="116" t="n">
        <v>51</v>
      </c>
      <c r="J7" s="134" t="n">
        <v>6</v>
      </c>
      <c r="K7" s="135" t="n">
        <v>49</v>
      </c>
      <c r="L7" s="132" t="n">
        <v>48</v>
      </c>
      <c r="M7" s="135" t="n">
        <v>6</v>
      </c>
      <c r="N7" s="128" t="n">
        <v>35</v>
      </c>
      <c r="O7" s="128" t="n">
        <v>50</v>
      </c>
      <c r="P7" s="128" t="n">
        <v>6</v>
      </c>
      <c r="Q7" s="131" t="n">
        <v>7</v>
      </c>
      <c r="R7" s="1" t="n">
        <f aca="false">SUM(H7:O7)</f>
        <v>289</v>
      </c>
      <c r="S7" s="1" t="n">
        <v>6</v>
      </c>
      <c r="T7" s="86" t="n">
        <f aca="false">R7/S7</f>
        <v>48.1666666666667</v>
      </c>
      <c r="U7" s="86" t="n">
        <f aca="false">T7*2</f>
        <v>96.3333333333333</v>
      </c>
      <c r="V7" s="128" t="n">
        <v>58</v>
      </c>
      <c r="W7" s="128" t="n">
        <v>55</v>
      </c>
      <c r="X7" s="132" t="n">
        <v>7</v>
      </c>
      <c r="Y7" s="130" t="n">
        <v>58</v>
      </c>
      <c r="Z7" s="133" t="n">
        <v>50</v>
      </c>
      <c r="AA7" s="119" t="n">
        <v>52</v>
      </c>
      <c r="AB7" s="119" t="n">
        <v>53</v>
      </c>
      <c r="AC7" s="119" t="n">
        <v>65</v>
      </c>
      <c r="AD7" s="131" t="n">
        <v>7</v>
      </c>
      <c r="AE7" s="1" t="n">
        <f aca="false">SUM(V7:AC7)</f>
        <v>398</v>
      </c>
      <c r="AF7" s="1" t="n">
        <v>7</v>
      </c>
      <c r="AG7" s="86" t="n">
        <f aca="false">AE7/AF7</f>
        <v>56.8571428571429</v>
      </c>
      <c r="AH7" s="86" t="n">
        <f aca="false">AG7*2</f>
        <v>113.714285714286</v>
      </c>
      <c r="AI7" s="119" t="n">
        <v>7</v>
      </c>
      <c r="AJ7" s="120" t="n">
        <f aca="false">F7+G7+H7+I7+K7+L7+N7+O7+V7+W7+Y7+Z7+AA7+AB7+AC7</f>
        <v>748</v>
      </c>
      <c r="AK7" s="1" t="n">
        <v>15</v>
      </c>
      <c r="AL7" s="121" t="n">
        <f aca="false">AJ7/AK7</f>
        <v>49.8666666666667</v>
      </c>
      <c r="AM7" s="121" t="n">
        <f aca="false">AL7*2</f>
        <v>99.7333333333333</v>
      </c>
      <c r="AN7" s="1" t="n">
        <v>63</v>
      </c>
      <c r="AO7" s="1" t="n">
        <v>58</v>
      </c>
      <c r="AP7" s="1" t="n">
        <v>64</v>
      </c>
      <c r="AQ7" s="1" t="n">
        <v>68</v>
      </c>
      <c r="AR7" s="1" t="n">
        <v>62</v>
      </c>
      <c r="AS7" s="1" t="n">
        <v>66</v>
      </c>
      <c r="AT7" s="131" t="n">
        <v>7</v>
      </c>
      <c r="AU7" s="1" t="n">
        <f aca="false">SUM(AN7:AS7)</f>
        <v>381</v>
      </c>
      <c r="AV7" s="1" t="n">
        <v>6</v>
      </c>
      <c r="AW7" s="86" t="n">
        <f aca="false">AU7/AV7</f>
        <v>63.5</v>
      </c>
      <c r="AX7" s="86" t="n">
        <f aca="false">AW7*2</f>
        <v>127</v>
      </c>
      <c r="AY7" s="122" t="n">
        <v>63</v>
      </c>
      <c r="AZ7" s="122" t="n">
        <v>65</v>
      </c>
      <c r="BA7" s="1" t="n">
        <v>64</v>
      </c>
      <c r="BB7" s="122" t="n">
        <v>67</v>
      </c>
      <c r="BC7" s="1" t="n">
        <v>71</v>
      </c>
      <c r="BD7" s="1" t="n">
        <v>67</v>
      </c>
      <c r="BE7" s="1" t="n">
        <v>7</v>
      </c>
      <c r="BF7" s="122" t="n">
        <f aca="false">SUM(AY7:BD7)</f>
        <v>397</v>
      </c>
      <c r="BG7" s="1" t="n">
        <v>6</v>
      </c>
      <c r="BH7" s="123" t="n">
        <f aca="false">BF7/BG7</f>
        <v>66.1666666666667</v>
      </c>
      <c r="BI7" s="123" t="n">
        <f aca="false">BH7*2</f>
        <v>132.333333333333</v>
      </c>
      <c r="BJ7" s="124" t="str">
        <f aca="false">IF(OR($D7="",$AW7="",$BH7=""),"",IFERROR(IF(VALUE($BH7)&gt;VALUE($AW7),"▲ "&amp;TEXT(VALUE($BH7)-VALUE($AW7),"0.00"),IF(VALUE($BH7)&lt;VALUE($AW7),"▼ "&amp;TEXT(VALUE($AW7)-VALUE($BH7),"0.00"),"● 0.00")),""))</f>
        <v>▲ 2.67</v>
      </c>
      <c r="BK7" s="1" t="n">
        <f aca="false">SUM(AN7:AQ7)/4</f>
        <v>63.25</v>
      </c>
      <c r="BL7" s="125" t="str">
        <f aca="false">IF(OR(BK7="",BH7="",NOT(ISNUMBER(BK7)),NOT(ISNUMBER(BH7))),"",IF(BH7&gt;BK7,"▲ "&amp;TEXT(ABS(BH7-BK7),"0.00"),IF(BH7&lt;BK7,"▼ "&amp;TEXT(ABS(BH7-BK7),"0.00"),"● 0.00")))</f>
        <v>▲ 2.92</v>
      </c>
      <c r="BM7" s="122" t="n">
        <v>74</v>
      </c>
      <c r="BN7" s="122" t="n">
        <v>69</v>
      </c>
      <c r="BO7" s="1" t="n">
        <v>71</v>
      </c>
      <c r="BP7" s="122"/>
      <c r="BT7" s="1" t="n">
        <v>7</v>
      </c>
      <c r="BU7" s="122" t="n">
        <f aca="false">SUM(BM7:BS7)</f>
        <v>214</v>
      </c>
      <c r="BV7" s="1" t="n">
        <v>3</v>
      </c>
      <c r="BW7" s="123" t="n">
        <f aca="false">BU7/BV7</f>
        <v>71.3333333333333</v>
      </c>
      <c r="BX7" s="123" t="n">
        <f aca="false">BW7*2</f>
        <v>142.666666666667</v>
      </c>
    </row>
    <row r="8" customFormat="false" ht="15" hidden="true" customHeight="true" outlineLevel="0" collapsed="false">
      <c r="A8" s="115" t="s">
        <v>162</v>
      </c>
      <c r="B8" s="25" t="s">
        <v>278</v>
      </c>
      <c r="C8" s="23" t="s">
        <v>168</v>
      </c>
      <c r="D8" s="25" t="s">
        <v>173</v>
      </c>
      <c r="E8" s="25" t="s">
        <v>166</v>
      </c>
      <c r="F8" s="136" t="n">
        <v>17</v>
      </c>
      <c r="G8" s="136" t="n">
        <v>18</v>
      </c>
      <c r="H8" s="136" t="n">
        <v>15</v>
      </c>
      <c r="I8" s="136" t="n">
        <v>17</v>
      </c>
      <c r="J8" s="116" t="n">
        <v>2</v>
      </c>
      <c r="K8" s="137" t="n">
        <v>18</v>
      </c>
      <c r="L8" s="137" t="n">
        <v>18</v>
      </c>
      <c r="M8" s="132" t="n">
        <v>2</v>
      </c>
      <c r="N8" s="137" t="n">
        <v>17</v>
      </c>
      <c r="O8" s="137" t="n">
        <v>26</v>
      </c>
      <c r="P8" s="132" t="n">
        <v>2</v>
      </c>
      <c r="Q8" s="138" t="n">
        <v>2</v>
      </c>
      <c r="R8" s="1" t="n">
        <f aca="false">SUM(H8:O8)</f>
        <v>115</v>
      </c>
      <c r="S8" s="1" t="n">
        <v>6</v>
      </c>
      <c r="T8" s="86" t="n">
        <f aca="false">R8/S8</f>
        <v>19.1666666666667</v>
      </c>
      <c r="U8" s="86" t="n">
        <f aca="false">T8*2</f>
        <v>38.3333333333333</v>
      </c>
      <c r="V8" s="137" t="n">
        <v>18</v>
      </c>
      <c r="W8" s="137" t="n">
        <v>15</v>
      </c>
      <c r="X8" s="132" t="n">
        <v>2</v>
      </c>
      <c r="Y8" s="139" t="n">
        <v>10</v>
      </c>
      <c r="Z8" s="140" t="n">
        <v>7</v>
      </c>
      <c r="AA8" s="119" t="n">
        <v>13</v>
      </c>
      <c r="AB8" s="119" t="n">
        <v>8</v>
      </c>
      <c r="AC8" s="119" t="n">
        <v>12</v>
      </c>
      <c r="AD8" s="138" t="n">
        <v>2</v>
      </c>
      <c r="AE8" s="1" t="n">
        <f aca="false">SUM(V8:AC8)</f>
        <v>85</v>
      </c>
      <c r="AF8" s="1" t="n">
        <v>7</v>
      </c>
      <c r="AG8" s="86" t="n">
        <f aca="false">AE8/AF8</f>
        <v>12.1428571428571</v>
      </c>
      <c r="AH8" s="86" t="n">
        <f aca="false">AG8*2</f>
        <v>24.2857142857143</v>
      </c>
      <c r="AI8" s="119" t="n">
        <v>2</v>
      </c>
      <c r="AJ8" s="120" t="n">
        <f aca="false">F8+G8+H8+I8+K8+L8+N8+O8+V8+W8+Y8+Z8+AA8+AB8+AC8</f>
        <v>229</v>
      </c>
      <c r="AK8" s="1" t="n">
        <v>15</v>
      </c>
      <c r="AL8" s="121" t="n">
        <f aca="false">AJ8/AK8</f>
        <v>15.2666666666667</v>
      </c>
      <c r="AM8" s="121" t="n">
        <f aca="false">AL8*2</f>
        <v>30.5333333333333</v>
      </c>
      <c r="AN8" s="1" t="n">
        <v>6</v>
      </c>
      <c r="AO8" s="1" t="n">
        <v>9</v>
      </c>
      <c r="AP8" s="1" t="n">
        <v>4</v>
      </c>
      <c r="AQ8" s="1" t="n">
        <v>4</v>
      </c>
      <c r="AR8" s="1" t="n">
        <v>22</v>
      </c>
      <c r="AS8" s="1" t="n">
        <v>20</v>
      </c>
      <c r="AT8" s="138" t="n">
        <v>2</v>
      </c>
      <c r="AU8" s="1" t="n">
        <f aca="false">SUM(AN8:AS8)</f>
        <v>65</v>
      </c>
      <c r="AV8" s="1" t="n">
        <v>6</v>
      </c>
      <c r="AW8" s="86" t="n">
        <f aca="false">AU8/AV8</f>
        <v>10.8333333333333</v>
      </c>
      <c r="AX8" s="86" t="n">
        <f aca="false">AW8*2</f>
        <v>21.6666666666667</v>
      </c>
      <c r="AY8" s="122" t="n">
        <v>23</v>
      </c>
      <c r="AZ8" s="122" t="n">
        <v>25</v>
      </c>
      <c r="BA8" s="1" t="n">
        <v>11</v>
      </c>
      <c r="BB8" s="1" t="n">
        <v>21</v>
      </c>
      <c r="BC8" s="1" t="n">
        <v>19</v>
      </c>
      <c r="BD8" s="1" t="n">
        <v>21</v>
      </c>
      <c r="BE8" s="1" t="n">
        <v>2</v>
      </c>
      <c r="BF8" s="122" t="n">
        <f aca="false">SUM(AY8:BD8)</f>
        <v>120</v>
      </c>
      <c r="BG8" s="1" t="n">
        <v>6</v>
      </c>
      <c r="BH8" s="123" t="n">
        <f aca="false">BF8/BG8</f>
        <v>20</v>
      </c>
      <c r="BI8" s="123" t="n">
        <f aca="false">BH8*2</f>
        <v>40</v>
      </c>
      <c r="BJ8" s="124" t="str">
        <f aca="false">IF(OR($D8="",$AW8="",$BH8=""),"",IFERROR(IF(VALUE($BH8)&gt;VALUE($AW8),"▲ "&amp;TEXT(VALUE($BH8)-VALUE($AW8),"0.00"),IF(VALUE($BH8)&lt;VALUE($AW8),"▼ "&amp;TEXT(VALUE($AW8)-VALUE($BH8),"0.00"),"● 0.00")),""))</f>
        <v>▲ 9.17</v>
      </c>
      <c r="BK8" s="1" t="n">
        <f aca="false">SUM(AN8:AQ8)/4</f>
        <v>5.75</v>
      </c>
      <c r="BL8" s="125" t="str">
        <f aca="false">IF(OR(BK8="",BH8="",NOT(ISNUMBER(BK8)),NOT(ISNUMBER(BH8))),"",IF(BH8&gt;BK8,"▲ "&amp;TEXT(ABS(BH8-BK8),"0.00"),IF(BH8&lt;BK8,"▼ "&amp;TEXT(ABS(BH8-BK8),"0.00"),"● 0.00")))</f>
        <v>▲ 14.25</v>
      </c>
      <c r="BM8" s="122" t="n">
        <v>22</v>
      </c>
      <c r="BN8" s="122" t="n">
        <v>18</v>
      </c>
      <c r="BO8" s="1" t="n">
        <v>20</v>
      </c>
      <c r="BT8" s="1" t="n">
        <v>2</v>
      </c>
      <c r="BU8" s="122" t="n">
        <f aca="false">SUM(BM8:BS8)</f>
        <v>60</v>
      </c>
      <c r="BV8" s="1" t="n">
        <v>3</v>
      </c>
      <c r="BW8" s="123" t="n">
        <f aca="false">BU8/BV8</f>
        <v>20</v>
      </c>
      <c r="BX8" s="123" t="n">
        <f aca="false">BW8*2</f>
        <v>40</v>
      </c>
    </row>
    <row r="9" customFormat="false" ht="15" hidden="true" customHeight="true" outlineLevel="0" collapsed="false">
      <c r="A9" s="115" t="s">
        <v>162</v>
      </c>
      <c r="B9" s="25" t="s">
        <v>278</v>
      </c>
      <c r="C9" s="23" t="s">
        <v>164</v>
      </c>
      <c r="D9" s="34" t="s">
        <v>174</v>
      </c>
      <c r="E9" s="25" t="s">
        <v>166</v>
      </c>
      <c r="F9" s="116" t="n">
        <v>27</v>
      </c>
      <c r="G9" s="116" t="n">
        <v>30</v>
      </c>
      <c r="H9" s="116" t="n">
        <v>21</v>
      </c>
      <c r="I9" s="116" t="n">
        <v>63</v>
      </c>
      <c r="J9" s="116" t="n">
        <v>7</v>
      </c>
      <c r="K9" s="141" t="n">
        <v>24</v>
      </c>
      <c r="L9" s="141" t="n">
        <v>55</v>
      </c>
      <c r="M9" s="132" t="n">
        <v>7</v>
      </c>
      <c r="N9" s="141" t="n">
        <v>35</v>
      </c>
      <c r="O9" s="141" t="n">
        <v>57</v>
      </c>
      <c r="P9" s="132" t="n">
        <v>7</v>
      </c>
      <c r="Q9" s="131" t="n">
        <v>8</v>
      </c>
      <c r="R9" s="1" t="n">
        <f aca="false">SUM(H9:O9)</f>
        <v>269</v>
      </c>
      <c r="S9" s="1" t="n">
        <v>6</v>
      </c>
      <c r="T9" s="86" t="n">
        <f aca="false">R9/S9</f>
        <v>44.8333333333333</v>
      </c>
      <c r="U9" s="86" t="n">
        <f aca="false">T9*2</f>
        <v>89.6666666666667</v>
      </c>
      <c r="V9" s="141" t="n">
        <v>67</v>
      </c>
      <c r="W9" s="141" t="n">
        <v>66</v>
      </c>
      <c r="X9" s="132" t="n">
        <v>8</v>
      </c>
      <c r="Y9" s="142" t="n">
        <v>63</v>
      </c>
      <c r="Z9" s="143" t="n">
        <v>78</v>
      </c>
      <c r="AA9" s="119" t="n">
        <v>60</v>
      </c>
      <c r="AB9" s="119" t="n">
        <v>39</v>
      </c>
      <c r="AC9" s="119" t="n">
        <v>41</v>
      </c>
      <c r="AD9" s="131" t="n">
        <v>8</v>
      </c>
      <c r="AE9" s="1" t="n">
        <f aca="false">SUM(V9:AC9)</f>
        <v>422</v>
      </c>
      <c r="AF9" s="1" t="n">
        <v>7</v>
      </c>
      <c r="AG9" s="86" t="n">
        <f aca="false">AE9/AF9</f>
        <v>60.2857142857143</v>
      </c>
      <c r="AH9" s="86" t="n">
        <f aca="false">AG9*2</f>
        <v>120.571428571429</v>
      </c>
      <c r="AI9" s="119" t="n">
        <v>8</v>
      </c>
      <c r="AJ9" s="120" t="n">
        <f aca="false">F9+G9+H9+I9+K9+L9+N9+O9+V9+W9+Y9+Z9+AA9+AB9+AC9</f>
        <v>726</v>
      </c>
      <c r="AK9" s="1" t="n">
        <v>15</v>
      </c>
      <c r="AL9" s="121" t="n">
        <f aca="false">AJ9/AK9</f>
        <v>48.4</v>
      </c>
      <c r="AM9" s="121" t="n">
        <f aca="false">AL9*2</f>
        <v>96.8</v>
      </c>
      <c r="AN9" s="1" t="n">
        <v>30</v>
      </c>
      <c r="AO9" s="1" t="n">
        <v>58</v>
      </c>
      <c r="AP9" s="1" t="n">
        <v>68</v>
      </c>
      <c r="AQ9" s="1" t="n">
        <v>81</v>
      </c>
      <c r="AR9" s="1" t="n">
        <v>59</v>
      </c>
      <c r="AS9" s="1" t="n">
        <v>61</v>
      </c>
      <c r="AT9" s="131" t="n">
        <v>8</v>
      </c>
      <c r="AU9" s="1" t="n">
        <f aca="false">SUM(AN9:AS9)</f>
        <v>357</v>
      </c>
      <c r="AV9" s="1" t="n">
        <v>6</v>
      </c>
      <c r="AW9" s="86" t="n">
        <f aca="false">AU9/AV9</f>
        <v>59.5</v>
      </c>
      <c r="AX9" s="86" t="n">
        <f aca="false">AW9*2</f>
        <v>119</v>
      </c>
      <c r="AY9" s="1" t="n">
        <v>58</v>
      </c>
      <c r="AZ9" s="1" t="n">
        <v>41</v>
      </c>
      <c r="BA9" s="1" t="n">
        <v>51</v>
      </c>
      <c r="BB9" s="1" t="n">
        <v>41</v>
      </c>
      <c r="BC9" s="1" t="n">
        <v>39</v>
      </c>
      <c r="BD9" s="1" t="n">
        <v>49</v>
      </c>
      <c r="BE9" s="1" t="n">
        <v>8</v>
      </c>
      <c r="BF9" s="122" t="n">
        <f aca="false">SUM(AY9:BD9)</f>
        <v>279</v>
      </c>
      <c r="BG9" s="1" t="n">
        <v>6</v>
      </c>
      <c r="BH9" s="122" t="n">
        <f aca="false">BF9/BG9</f>
        <v>46.5</v>
      </c>
      <c r="BI9" s="123" t="n">
        <f aca="false">BH9*2</f>
        <v>93</v>
      </c>
      <c r="BJ9" s="124" t="str">
        <f aca="false">IF(OR($D9="",$AW9="",$BH9=""),"",IFERROR(IF(VALUE($BH9)&gt;VALUE($AW9),"▲ "&amp;TEXT(VALUE($BH9)-VALUE($AW9),"0.00"),IF(VALUE($BH9)&lt;VALUE($AW9),"▼ "&amp;TEXT(VALUE($AW9)-VALUE($BH9),"0.00"),"● 0.00")),""))</f>
        <v>▼ 13.00</v>
      </c>
      <c r="BK9" s="1" t="n">
        <f aca="false">SUM(AN9:AQ9)/4</f>
        <v>59.25</v>
      </c>
      <c r="BL9" s="125" t="str">
        <f aca="false">IF(OR(BK9="",BH9="",NOT(ISNUMBER(BK9)),NOT(ISNUMBER(BH9))),"",IF(BH9&gt;BK9,"▲ "&amp;TEXT(ABS(BH9-BK9),"0.00"),IF(BH9&lt;BK9,"▼ "&amp;TEXT(ABS(BH9-BK9),"0.00"),"● 0.00")))</f>
        <v>▼ 12.75</v>
      </c>
      <c r="BM9" s="1" t="n">
        <v>41</v>
      </c>
      <c r="BN9" s="1" t="n">
        <v>47</v>
      </c>
      <c r="BO9" s="1" t="n">
        <v>39</v>
      </c>
      <c r="BT9" s="1" t="n">
        <v>8</v>
      </c>
      <c r="BU9" s="122" t="n">
        <f aca="false">SUM(BM9:BS9)</f>
        <v>127</v>
      </c>
      <c r="BV9" s="1" t="n">
        <v>3</v>
      </c>
      <c r="BW9" s="123" t="n">
        <f aca="false">BU9/BV9</f>
        <v>42.3333333333333</v>
      </c>
      <c r="BX9" s="123" t="n">
        <f aca="false">BW9*2</f>
        <v>84.6666666666667</v>
      </c>
    </row>
    <row r="10" customFormat="false" ht="15" hidden="true" customHeight="true" outlineLevel="0" collapsed="false">
      <c r="A10" s="115" t="s">
        <v>162</v>
      </c>
      <c r="B10" s="25" t="s">
        <v>278</v>
      </c>
      <c r="C10" s="23" t="s">
        <v>164</v>
      </c>
      <c r="D10" s="34" t="s">
        <v>175</v>
      </c>
      <c r="E10" s="25" t="s">
        <v>176</v>
      </c>
      <c r="F10" s="116" t="n">
        <v>55</v>
      </c>
      <c r="G10" s="116" t="n">
        <v>50</v>
      </c>
      <c r="H10" s="116" t="n">
        <v>51</v>
      </c>
      <c r="I10" s="116" t="n">
        <v>43</v>
      </c>
      <c r="J10" s="116" t="n">
        <v>8</v>
      </c>
      <c r="K10" s="141" t="n">
        <v>45</v>
      </c>
      <c r="L10" s="141" t="n">
        <v>44</v>
      </c>
      <c r="M10" s="132" t="n">
        <v>8</v>
      </c>
      <c r="N10" s="141" t="n">
        <v>28</v>
      </c>
      <c r="O10" s="141" t="n">
        <v>38</v>
      </c>
      <c r="P10" s="132" t="n">
        <v>6.5</v>
      </c>
      <c r="Q10" s="131" t="n">
        <v>6.5</v>
      </c>
      <c r="R10" s="1" t="n">
        <f aca="false">SUM(H10:O10)</f>
        <v>265</v>
      </c>
      <c r="S10" s="1" t="n">
        <v>6</v>
      </c>
      <c r="T10" s="86" t="n">
        <f aca="false">R10/S10</f>
        <v>44.1666666666667</v>
      </c>
      <c r="U10" s="86" t="n">
        <f aca="false">T10*2</f>
        <v>88.3333333333333</v>
      </c>
      <c r="V10" s="141" t="n">
        <v>45</v>
      </c>
      <c r="W10" s="141" t="n">
        <v>52</v>
      </c>
      <c r="X10" s="132" t="n">
        <v>6.5</v>
      </c>
      <c r="Y10" s="142" t="n">
        <v>59</v>
      </c>
      <c r="Z10" s="143" t="n">
        <v>55</v>
      </c>
      <c r="AA10" s="119" t="n">
        <v>51</v>
      </c>
      <c r="AB10" s="119" t="n">
        <v>50</v>
      </c>
      <c r="AC10" s="119" t="n">
        <v>45</v>
      </c>
      <c r="AD10" s="131" t="n">
        <v>6.5</v>
      </c>
      <c r="AE10" s="1" t="n">
        <f aca="false">SUM(V10:AC10)</f>
        <v>363.5</v>
      </c>
      <c r="AF10" s="1" t="n">
        <v>7</v>
      </c>
      <c r="AG10" s="86" t="n">
        <f aca="false">AE10/AF10</f>
        <v>51.9285714285714</v>
      </c>
      <c r="AH10" s="86" t="n">
        <f aca="false">AG10*2</f>
        <v>103.857142857143</v>
      </c>
      <c r="AI10" s="144" t="n">
        <v>6.5</v>
      </c>
      <c r="AJ10" s="120" t="n">
        <f aca="false">F10+G10+H10+I10+K10+L10+N10+O10+V10+W10+Y10+Z10+AA10+AB10+AC10</f>
        <v>711</v>
      </c>
      <c r="AK10" s="1" t="n">
        <v>15</v>
      </c>
      <c r="AL10" s="121" t="n">
        <f aca="false">AJ10/AK10</f>
        <v>47.4</v>
      </c>
      <c r="AM10" s="121" t="n">
        <f aca="false">AL10*2</f>
        <v>94.8</v>
      </c>
      <c r="AN10" s="1" t="n">
        <v>0</v>
      </c>
      <c r="AO10" s="1" t="n">
        <v>0</v>
      </c>
      <c r="AP10" s="1" t="n">
        <v>0</v>
      </c>
      <c r="AQ10" s="1" t="n">
        <v>0</v>
      </c>
      <c r="AR10" s="1" t="n">
        <v>0</v>
      </c>
      <c r="AS10" s="1" t="n">
        <v>0</v>
      </c>
      <c r="AT10" s="131" t="n">
        <v>0</v>
      </c>
      <c r="AU10" s="1" t="n">
        <f aca="false">SUM(AN10:AS10)</f>
        <v>0</v>
      </c>
      <c r="AV10" s="1" t="n">
        <v>6</v>
      </c>
      <c r="AW10" s="86" t="n">
        <f aca="false">AU10/AV10</f>
        <v>0</v>
      </c>
      <c r="AX10" s="86" t="n">
        <f aca="false">AW10*2</f>
        <v>0</v>
      </c>
      <c r="AY10" s="145"/>
      <c r="AZ10" s="145"/>
      <c r="BA10" s="145"/>
      <c r="BB10" s="145"/>
      <c r="BC10" s="145"/>
      <c r="BD10" s="145"/>
      <c r="BE10" s="145"/>
      <c r="BF10" s="146"/>
      <c r="BG10" s="145"/>
      <c r="BH10" s="147"/>
      <c r="BI10" s="147"/>
      <c r="BJ10" s="148" t="str">
        <f aca="false">IF(OR($D10="",$AW10="",$BH10=""),"",IFERROR(IF(VALUE($BH10)&gt;VALUE($AW10),"▲ "&amp;TEXT(VALUE($BH10)-VALUE($AW10),"0.00"),IF(VALUE($BH10)&lt;VALUE($AW10),"▼ "&amp;TEXT(VALUE($AW10)-VALUE($BH10),"0.00"),"● 0.00")),""))</f>
        <v/>
      </c>
      <c r="BK10" s="145" t="n">
        <f aca="false">SUM(AN10:AQ10)/4</f>
        <v>0</v>
      </c>
      <c r="BL10" s="149" t="str">
        <f aca="false">IF(OR(BK10="",BH10="",NOT(ISNUMBER(BK10)),NOT(ISNUMBER(BH10))),"",IF(BH10&gt;BK10,"▲ "&amp;TEXT(ABS(BH10-BK10),"0.00"),IF(BH10&lt;BK10,"▼ "&amp;TEXT(ABS(BH10-BK10),"0.00"),"● 0.00")))</f>
        <v/>
      </c>
      <c r="BM10" s="145"/>
      <c r="BN10" s="145"/>
      <c r="BO10" s="145"/>
      <c r="BP10" s="145"/>
      <c r="BQ10" s="145"/>
      <c r="BR10" s="145"/>
      <c r="BS10" s="145"/>
      <c r="BT10" s="145"/>
      <c r="BU10" s="146"/>
      <c r="BV10" s="145"/>
      <c r="BW10" s="147"/>
      <c r="BX10" s="147"/>
    </row>
    <row r="11" customFormat="false" ht="15" hidden="true" customHeight="true" outlineLevel="0" collapsed="false">
      <c r="A11" s="115" t="s">
        <v>162</v>
      </c>
      <c r="B11" s="25" t="s">
        <v>278</v>
      </c>
      <c r="C11" s="23" t="s">
        <v>164</v>
      </c>
      <c r="D11" s="34" t="s">
        <v>178</v>
      </c>
      <c r="E11" s="25" t="s">
        <v>166</v>
      </c>
      <c r="F11" s="116" t="n">
        <v>27</v>
      </c>
      <c r="G11" s="116" t="n">
        <v>39</v>
      </c>
      <c r="H11" s="116" t="n">
        <v>58</v>
      </c>
      <c r="I11" s="116" t="n">
        <v>43</v>
      </c>
      <c r="J11" s="116" t="n">
        <v>7.5</v>
      </c>
      <c r="K11" s="141" t="n">
        <v>45</v>
      </c>
      <c r="L11" s="141" t="n">
        <v>47</v>
      </c>
      <c r="M11" s="132" t="n">
        <v>7.5</v>
      </c>
      <c r="N11" s="141" t="n">
        <v>28</v>
      </c>
      <c r="O11" s="141" t="n">
        <v>22</v>
      </c>
      <c r="P11" s="132" t="n">
        <v>4.5</v>
      </c>
      <c r="Q11" s="131" t="n">
        <v>4.5</v>
      </c>
      <c r="R11" s="1" t="n">
        <f aca="false">SUM(H11:O11)</f>
        <v>258</v>
      </c>
      <c r="S11" s="1" t="n">
        <v>6</v>
      </c>
      <c r="T11" s="86" t="n">
        <f aca="false">R11/S11</f>
        <v>43</v>
      </c>
      <c r="U11" s="86" t="n">
        <f aca="false">T11*2</f>
        <v>86</v>
      </c>
      <c r="V11" s="141" t="n">
        <v>28</v>
      </c>
      <c r="W11" s="141" t="n">
        <v>32</v>
      </c>
      <c r="X11" s="132" t="n">
        <v>4.5</v>
      </c>
      <c r="Y11" s="142" t="n">
        <v>39</v>
      </c>
      <c r="Z11" s="143" t="n">
        <v>47</v>
      </c>
      <c r="AA11" s="119" t="n">
        <v>33</v>
      </c>
      <c r="AB11" s="119" t="n">
        <v>27</v>
      </c>
      <c r="AC11" s="119" t="n">
        <v>29</v>
      </c>
      <c r="AD11" s="131" t="n">
        <v>4.5</v>
      </c>
      <c r="AE11" s="1" t="n">
        <f aca="false">SUM(V11:AC11)</f>
        <v>239.5</v>
      </c>
      <c r="AF11" s="1" t="n">
        <v>7</v>
      </c>
      <c r="AG11" s="86" t="n">
        <f aca="false">AE11/AF11</f>
        <v>34.2142857142857</v>
      </c>
      <c r="AH11" s="86" t="n">
        <f aca="false">AG11*2</f>
        <v>68.4285714285714</v>
      </c>
      <c r="AI11" s="144" t="n">
        <v>4.5</v>
      </c>
      <c r="AJ11" s="120" t="n">
        <f aca="false">F11+G11+H11+I11+K11+L11+N11+O11+V11+W11+Y11+Z11+AA11+AB11+AC11</f>
        <v>544</v>
      </c>
      <c r="AK11" s="1" t="n">
        <v>15</v>
      </c>
      <c r="AL11" s="121" t="n">
        <f aca="false">AJ11/AK11</f>
        <v>36.2666666666667</v>
      </c>
      <c r="AM11" s="121" t="n">
        <f aca="false">AL11*2</f>
        <v>72.5333333333333</v>
      </c>
      <c r="AN11" s="1" t="n">
        <v>27</v>
      </c>
      <c r="AO11" s="1" t="n">
        <v>62</v>
      </c>
      <c r="AP11" s="1" t="n">
        <v>66</v>
      </c>
      <c r="AQ11" s="1" t="n">
        <v>57</v>
      </c>
      <c r="AR11" s="1" t="n">
        <v>79</v>
      </c>
      <c r="AS11" s="1" t="n">
        <v>75</v>
      </c>
      <c r="AT11" s="131" t="n">
        <v>8</v>
      </c>
      <c r="AU11" s="1" t="n">
        <f aca="false">SUM(AN11:AS11)</f>
        <v>366</v>
      </c>
      <c r="AV11" s="1" t="n">
        <v>6</v>
      </c>
      <c r="AW11" s="86" t="n">
        <f aca="false">AU11/AV11</f>
        <v>61</v>
      </c>
      <c r="AX11" s="86" t="n">
        <f aca="false">AW11*2</f>
        <v>122</v>
      </c>
      <c r="AY11" s="1" t="n">
        <v>59</v>
      </c>
      <c r="AZ11" s="1" t="n">
        <v>66</v>
      </c>
      <c r="BA11" s="1" t="n">
        <v>70</v>
      </c>
      <c r="BB11" s="1" t="n">
        <v>75</v>
      </c>
      <c r="BC11" s="1" t="n">
        <v>51</v>
      </c>
      <c r="BD11" s="1" t="n">
        <v>38</v>
      </c>
      <c r="BE11" s="1" t="n">
        <v>8</v>
      </c>
      <c r="BF11" s="122" t="n">
        <f aca="false">SUM(AY11:BD11)</f>
        <v>359</v>
      </c>
      <c r="BG11" s="1" t="n">
        <v>6</v>
      </c>
      <c r="BH11" s="122" t="n">
        <f aca="false">BF11/BG11</f>
        <v>59.8333333333333</v>
      </c>
      <c r="BI11" s="123" t="n">
        <f aca="false">BH11*2</f>
        <v>119.666666666667</v>
      </c>
      <c r="BJ11" s="124" t="str">
        <f aca="false">IF(OR($D11="",$AW11="",$BH11=""),"",IFERROR(IF(VALUE($BH11)&gt;VALUE($AW11),"▲ "&amp;TEXT(VALUE($BH11)-VALUE($AW11),"0.00"),IF(VALUE($BH11)&lt;VALUE($AW11),"▼ "&amp;TEXT(VALUE($AW11)-VALUE($BH11),"0.00"),"● 0.00")),""))</f>
        <v>▼ 1.17</v>
      </c>
      <c r="BK11" s="1" t="n">
        <f aca="false">SUM(AN11:AQ11)/4</f>
        <v>53</v>
      </c>
      <c r="BL11" s="125" t="str">
        <f aca="false">IF(OR(BK11="",BH11="",NOT(ISNUMBER(BK11)),NOT(ISNUMBER(BH11))),"",IF(BH11&gt;BK11,"▲ "&amp;TEXT(ABS(BH11-BK11),"0.00"),IF(BH11&lt;BK11,"▼ "&amp;TEXT(ABS(BH11-BK11),"0.00"),"● 0.00")))</f>
        <v>▲ 6.83</v>
      </c>
      <c r="BM11" s="1" t="n">
        <v>42</v>
      </c>
      <c r="BN11" s="1" t="n">
        <v>43</v>
      </c>
      <c r="BO11" s="1" t="n">
        <v>44</v>
      </c>
      <c r="BT11" s="1" t="n">
        <v>8</v>
      </c>
      <c r="BU11" s="122" t="n">
        <f aca="false">SUM(BM11:BS11)</f>
        <v>129</v>
      </c>
      <c r="BV11" s="1" t="n">
        <v>3</v>
      </c>
      <c r="BW11" s="123" t="n">
        <f aca="false">BU11/BV11</f>
        <v>43</v>
      </c>
      <c r="BX11" s="123" t="n">
        <f aca="false">BW11*2</f>
        <v>86</v>
      </c>
    </row>
    <row r="12" customFormat="false" ht="15" hidden="true" customHeight="true" outlineLevel="0" collapsed="false">
      <c r="A12" s="115" t="s">
        <v>162</v>
      </c>
      <c r="B12" s="25" t="s">
        <v>278</v>
      </c>
      <c r="C12" s="23" t="s">
        <v>164</v>
      </c>
      <c r="D12" s="34" t="s">
        <v>179</v>
      </c>
      <c r="E12" s="25" t="s">
        <v>166</v>
      </c>
      <c r="F12" s="116" t="n">
        <v>11</v>
      </c>
      <c r="G12" s="116" t="n">
        <v>41</v>
      </c>
      <c r="H12" s="116" t="n">
        <v>20</v>
      </c>
      <c r="I12" s="116" t="n">
        <v>16</v>
      </c>
      <c r="J12" s="116" t="n">
        <v>6.5</v>
      </c>
      <c r="K12" s="141" t="n">
        <v>42</v>
      </c>
      <c r="L12" s="141" t="n">
        <v>22</v>
      </c>
      <c r="M12" s="132" t="n">
        <v>6.5</v>
      </c>
      <c r="N12" s="141" t="n">
        <v>29</v>
      </c>
      <c r="O12" s="141" t="n">
        <v>36</v>
      </c>
      <c r="P12" s="132" t="n">
        <v>6.5</v>
      </c>
      <c r="Q12" s="131" t="n">
        <v>6.5</v>
      </c>
      <c r="R12" s="1" t="n">
        <f aca="false">SUM(H12:O12)</f>
        <v>178</v>
      </c>
      <c r="S12" s="1" t="n">
        <v>6</v>
      </c>
      <c r="T12" s="86" t="n">
        <f aca="false">R12/S12</f>
        <v>29.6666666666667</v>
      </c>
      <c r="U12" s="86" t="n">
        <f aca="false">T12*2</f>
        <v>59.3333333333333</v>
      </c>
      <c r="V12" s="141" t="n">
        <v>46</v>
      </c>
      <c r="W12" s="141" t="n">
        <v>41</v>
      </c>
      <c r="X12" s="132" t="n">
        <v>6.5</v>
      </c>
      <c r="Y12" s="142" t="n">
        <v>20</v>
      </c>
      <c r="Z12" s="143" t="n">
        <v>46</v>
      </c>
      <c r="AA12" s="143" t="n">
        <v>37</v>
      </c>
      <c r="AB12" s="143" t="n">
        <v>42</v>
      </c>
      <c r="AC12" s="143" t="n">
        <v>26</v>
      </c>
      <c r="AD12" s="131" t="n">
        <v>6.5</v>
      </c>
      <c r="AE12" s="1" t="n">
        <f aca="false">SUM(V12:AC12)</f>
        <v>264.5</v>
      </c>
      <c r="AF12" s="1" t="n">
        <v>7</v>
      </c>
      <c r="AG12" s="86" t="n">
        <f aca="false">AE12/AF12</f>
        <v>37.7857142857143</v>
      </c>
      <c r="AH12" s="86" t="n">
        <f aca="false">AG12*2</f>
        <v>75.5714285714286</v>
      </c>
      <c r="AI12" s="144" t="n">
        <v>6.5</v>
      </c>
      <c r="AJ12" s="120" t="n">
        <f aca="false">F12+G12+H12+I12+K12+L12+N12+O12+V12+W12+Y12+Z12+AA12+AB12+AC12</f>
        <v>475</v>
      </c>
      <c r="AK12" s="1" t="n">
        <v>15</v>
      </c>
      <c r="AL12" s="121" t="n">
        <f aca="false">AJ12/AK12</f>
        <v>31.6666666666667</v>
      </c>
      <c r="AM12" s="121" t="n">
        <f aca="false">AL12*2</f>
        <v>63.3333333333333</v>
      </c>
      <c r="AN12" s="150" t="n">
        <v>45</v>
      </c>
      <c r="AO12" s="150" t="n">
        <v>49</v>
      </c>
      <c r="AP12" s="150" t="n">
        <v>44</v>
      </c>
      <c r="AQ12" s="150" t="n">
        <v>55</v>
      </c>
      <c r="AR12" s="150" t="n">
        <v>41</v>
      </c>
      <c r="AS12" s="150" t="n">
        <v>47</v>
      </c>
      <c r="AT12" s="131" t="n">
        <v>6.5</v>
      </c>
      <c r="AU12" s="1" t="n">
        <f aca="false">SUM(AN12:AS12)</f>
        <v>281</v>
      </c>
      <c r="AV12" s="1" t="n">
        <v>6</v>
      </c>
      <c r="AW12" s="86" t="n">
        <f aca="false">AU12/AV12</f>
        <v>46.8333333333333</v>
      </c>
      <c r="AX12" s="86" t="n">
        <f aca="false">AW12*2</f>
        <v>93.6666666666667</v>
      </c>
      <c r="AY12" s="1" t="n">
        <v>38</v>
      </c>
      <c r="AZ12" s="1" t="n">
        <v>38</v>
      </c>
      <c r="BA12" s="1" t="n">
        <v>37</v>
      </c>
      <c r="BB12" s="1" t="n">
        <v>59</v>
      </c>
      <c r="BC12" s="1" t="n">
        <v>49</v>
      </c>
      <c r="BD12" s="1" t="n">
        <v>54</v>
      </c>
      <c r="BE12" s="1" t="n">
        <v>6.5</v>
      </c>
      <c r="BF12" s="122" t="n">
        <f aca="false">SUM(AY12:BD12)</f>
        <v>275</v>
      </c>
      <c r="BG12" s="1" t="n">
        <v>6</v>
      </c>
      <c r="BH12" s="123" t="n">
        <f aca="false">BF12/BG12</f>
        <v>45.8333333333333</v>
      </c>
      <c r="BI12" s="123" t="n">
        <f aca="false">BH12*2</f>
        <v>91.6666666666667</v>
      </c>
      <c r="BJ12" s="124" t="str">
        <f aca="false">IF(OR($D12="",$AW12="",$BH12=""),"",IFERROR(IF(VALUE($BH12)&gt;VALUE($AW12),"▲ "&amp;TEXT(VALUE($BH12)-VALUE($AW12),"0.00"),IF(VALUE($BH12)&lt;VALUE($AW12),"▼ "&amp;TEXT(VALUE($AW12)-VALUE($BH12),"0.00"),"● 0.00")),""))</f>
        <v>▼ 1.00</v>
      </c>
      <c r="BK12" s="1" t="n">
        <f aca="false">SUM(AN12:AQ12)/4</f>
        <v>48.25</v>
      </c>
      <c r="BL12" s="125" t="str">
        <f aca="false">IF(OR(BK12="",BH12="",NOT(ISNUMBER(BK12)),NOT(ISNUMBER(BH12))),"",IF(BH12&gt;BK12,"▲ "&amp;TEXT(ABS(BH12-BK12),"0.00"),IF(BH12&lt;BK12,"▼ "&amp;TEXT(ABS(BH12-BK12),"0.00"),"● 0.00")))</f>
        <v>▼ 2.42</v>
      </c>
      <c r="BM12" s="1" t="n">
        <v>64</v>
      </c>
      <c r="BN12" s="1" t="n">
        <v>99</v>
      </c>
      <c r="BO12" s="1" t="n">
        <v>96</v>
      </c>
      <c r="BT12" s="1" t="n">
        <v>11</v>
      </c>
      <c r="BU12" s="122" t="n">
        <f aca="false">SUM(BM12:BS12)</f>
        <v>259</v>
      </c>
      <c r="BV12" s="1" t="n">
        <v>3</v>
      </c>
      <c r="BW12" s="123" t="n">
        <f aca="false">BU12/BV12</f>
        <v>86.3333333333333</v>
      </c>
      <c r="BX12" s="123" t="n">
        <f aca="false">BW12*2</f>
        <v>172.666666666667</v>
      </c>
    </row>
    <row r="13" customFormat="false" ht="15" hidden="true" customHeight="true" outlineLevel="0" collapsed="false">
      <c r="A13" s="115" t="s">
        <v>162</v>
      </c>
      <c r="B13" s="25" t="s">
        <v>278</v>
      </c>
      <c r="C13" s="23" t="s">
        <v>164</v>
      </c>
      <c r="D13" s="34" t="s">
        <v>180</v>
      </c>
      <c r="E13" s="25" t="s">
        <v>166</v>
      </c>
      <c r="F13" s="116" t="n">
        <v>24</v>
      </c>
      <c r="G13" s="116" t="n">
        <v>67</v>
      </c>
      <c r="H13" s="116" t="n">
        <v>40</v>
      </c>
      <c r="I13" s="116" t="n">
        <v>14</v>
      </c>
      <c r="J13" s="116" t="n">
        <v>7.5</v>
      </c>
      <c r="K13" s="141" t="n">
        <v>25</v>
      </c>
      <c r="L13" s="141" t="n">
        <v>25</v>
      </c>
      <c r="M13" s="132" t="n">
        <v>7.5</v>
      </c>
      <c r="N13" s="141" t="n">
        <v>32</v>
      </c>
      <c r="O13" s="141" t="n">
        <v>35</v>
      </c>
      <c r="P13" s="132" t="n">
        <v>7.5</v>
      </c>
      <c r="Q13" s="131" t="n">
        <v>7.5</v>
      </c>
      <c r="R13" s="1" t="n">
        <f aca="false">SUM(H13:O13)</f>
        <v>186</v>
      </c>
      <c r="S13" s="1" t="n">
        <v>6</v>
      </c>
      <c r="T13" s="86" t="n">
        <f aca="false">R13/S13</f>
        <v>31</v>
      </c>
      <c r="U13" s="86" t="n">
        <f aca="false">T13*2</f>
        <v>62</v>
      </c>
      <c r="V13" s="141" t="n">
        <v>39</v>
      </c>
      <c r="W13" s="141" t="n">
        <v>21</v>
      </c>
      <c r="X13" s="132" t="n">
        <v>7.5</v>
      </c>
      <c r="Y13" s="142" t="n">
        <v>29</v>
      </c>
      <c r="Z13" s="143" t="n">
        <v>38</v>
      </c>
      <c r="AA13" s="143" t="n">
        <v>32</v>
      </c>
      <c r="AB13" s="143" t="n">
        <v>34</v>
      </c>
      <c r="AC13" s="143" t="n">
        <v>29</v>
      </c>
      <c r="AD13" s="131" t="n">
        <v>7.5</v>
      </c>
      <c r="AE13" s="1" t="n">
        <f aca="false">SUM(V13:AC13)</f>
        <v>229.5</v>
      </c>
      <c r="AF13" s="1" t="n">
        <v>7</v>
      </c>
      <c r="AG13" s="86" t="n">
        <f aca="false">AE13/AF13</f>
        <v>32.7857142857143</v>
      </c>
      <c r="AH13" s="86" t="n">
        <f aca="false">AG13*2</f>
        <v>65.5714285714286</v>
      </c>
      <c r="AI13" s="144" t="n">
        <v>7.5</v>
      </c>
      <c r="AJ13" s="120" t="n">
        <f aca="false">F13+G13+H13+I13+K13+L13+N13+O13+V13+W13+Y13+Z13+AA13+AB13+AC13</f>
        <v>484</v>
      </c>
      <c r="AK13" s="1" t="n">
        <v>15</v>
      </c>
      <c r="AL13" s="121" t="n">
        <f aca="false">AJ13/AK13</f>
        <v>32.2666666666667</v>
      </c>
      <c r="AM13" s="121" t="n">
        <f aca="false">AL13*2</f>
        <v>64.5333333333333</v>
      </c>
      <c r="AN13" s="150" t="n">
        <v>46</v>
      </c>
      <c r="AO13" s="150" t="n">
        <v>37</v>
      </c>
      <c r="AP13" s="150" t="n">
        <v>36</v>
      </c>
      <c r="AQ13" s="150" t="n">
        <v>47</v>
      </c>
      <c r="AR13" s="150" t="n">
        <v>26</v>
      </c>
      <c r="AS13" s="150" t="n">
        <v>47</v>
      </c>
      <c r="AT13" s="131" t="n">
        <v>7.5</v>
      </c>
      <c r="AU13" s="1" t="n">
        <f aca="false">SUM(AN13:AS13)</f>
        <v>239</v>
      </c>
      <c r="AV13" s="1" t="n">
        <v>6</v>
      </c>
      <c r="AW13" s="86" t="n">
        <f aca="false">AU13/AV13</f>
        <v>39.8333333333333</v>
      </c>
      <c r="AX13" s="86" t="n">
        <f aca="false">AW13*2</f>
        <v>79.6666666666667</v>
      </c>
      <c r="AY13" s="1" t="n">
        <v>41</v>
      </c>
      <c r="AZ13" s="1" t="n">
        <v>36.5</v>
      </c>
      <c r="BA13" s="1" t="n">
        <v>29</v>
      </c>
      <c r="BB13" s="1" t="n">
        <v>51</v>
      </c>
      <c r="BC13" s="1" t="n">
        <v>55</v>
      </c>
      <c r="BD13" s="1" t="n">
        <v>46</v>
      </c>
      <c r="BE13" s="1" t="n">
        <v>6</v>
      </c>
      <c r="BF13" s="122" t="n">
        <f aca="false">SUM(AY13:BD13)</f>
        <v>258.5</v>
      </c>
      <c r="BG13" s="1" t="n">
        <v>6</v>
      </c>
      <c r="BH13" s="123" t="n">
        <f aca="false">BF13/BG13</f>
        <v>43.0833333333333</v>
      </c>
      <c r="BI13" s="123" t="n">
        <f aca="false">BH13*2</f>
        <v>86.1666666666667</v>
      </c>
      <c r="BJ13" s="124" t="str">
        <f aca="false">IF(OR($D13="",$AW13="",$BH13=""),"",IFERROR(IF(VALUE($BH13)&gt;VALUE($AW13),"▲ "&amp;TEXT(VALUE($BH13)-VALUE($AW13),"0.00"),IF(VALUE($BH13)&lt;VALUE($AW13),"▼ "&amp;TEXT(VALUE($AW13)-VALUE($BH13),"0.00"),"● 0.00")),""))</f>
        <v>▲ 3.25</v>
      </c>
      <c r="BK13" s="1" t="n">
        <f aca="false">SUM(AN13:AQ13)/4</f>
        <v>41.5</v>
      </c>
      <c r="BL13" s="125" t="str">
        <f aca="false">IF(OR(BK13="",BH13="",NOT(ISNUMBER(BK13)),NOT(ISNUMBER(BH13))),"",IF(BH13&gt;BK13,"▲ "&amp;TEXT(ABS(BH13-BK13),"0.00"),IF(BH13&lt;BK13,"▼ "&amp;TEXT(ABS(BH13-BK13),"0.00"),"● 0.00")))</f>
        <v>▲ 1.58</v>
      </c>
      <c r="BT13" s="1" t="n">
        <v>6</v>
      </c>
      <c r="BU13" s="122" t="n">
        <f aca="false">SUM(BM13:BS13)</f>
        <v>0</v>
      </c>
      <c r="BV13" s="1" t="n">
        <v>3</v>
      </c>
      <c r="BW13" s="123" t="n">
        <f aca="false">BU13/BV13</f>
        <v>0</v>
      </c>
      <c r="BX13" s="123" t="n">
        <f aca="false">BW13*2</f>
        <v>0</v>
      </c>
    </row>
    <row r="14" customFormat="false" ht="15" hidden="true" customHeight="true" outlineLevel="0" collapsed="false">
      <c r="A14" s="115" t="s">
        <v>162</v>
      </c>
      <c r="B14" s="25" t="s">
        <v>181</v>
      </c>
      <c r="C14" s="48" t="s">
        <v>182</v>
      </c>
      <c r="D14" s="49" t="s">
        <v>183</v>
      </c>
      <c r="E14" s="25" t="s">
        <v>166</v>
      </c>
      <c r="F14" s="116" t="n">
        <v>82</v>
      </c>
      <c r="G14" s="116" t="n">
        <v>58</v>
      </c>
      <c r="H14" s="116" t="n">
        <v>69</v>
      </c>
      <c r="I14" s="116" t="n">
        <v>66</v>
      </c>
      <c r="J14" s="151" t="n">
        <v>8.5</v>
      </c>
      <c r="K14" s="132" t="n">
        <v>76</v>
      </c>
      <c r="L14" s="132" t="n">
        <v>70</v>
      </c>
      <c r="M14" s="152" t="n">
        <v>8.5</v>
      </c>
      <c r="N14" s="132" t="n">
        <v>70</v>
      </c>
      <c r="O14" s="132" t="n">
        <v>92</v>
      </c>
      <c r="P14" s="152" t="n">
        <v>8.5</v>
      </c>
      <c r="Q14" s="152" t="n">
        <v>8.5</v>
      </c>
      <c r="R14" s="1" t="n">
        <f aca="false">SUM(H14:O14)</f>
        <v>460</v>
      </c>
      <c r="S14" s="1" t="n">
        <v>6</v>
      </c>
      <c r="T14" s="86" t="n">
        <f aca="false">R14/S14</f>
        <v>76.6666666666667</v>
      </c>
      <c r="U14" s="86" t="n">
        <f aca="false">T14*2</f>
        <v>153.333333333333</v>
      </c>
      <c r="V14" s="132" t="n">
        <v>50</v>
      </c>
      <c r="W14" s="132" t="n">
        <v>78</v>
      </c>
      <c r="X14" s="152" t="n">
        <v>8.5</v>
      </c>
      <c r="Y14" s="131" t="n">
        <v>56</v>
      </c>
      <c r="Z14" s="144" t="n">
        <v>63</v>
      </c>
      <c r="AA14" s="144" t="n">
        <v>68</v>
      </c>
      <c r="AB14" s="144" t="n">
        <v>59</v>
      </c>
      <c r="AC14" s="144" t="n">
        <v>54</v>
      </c>
      <c r="AD14" s="152" t="n">
        <v>8.5</v>
      </c>
      <c r="AE14" s="1" t="n">
        <f aca="false">SUM(V14:AC14)</f>
        <v>436.5</v>
      </c>
      <c r="AF14" s="1" t="n">
        <v>7</v>
      </c>
      <c r="AG14" s="86" t="n">
        <f aca="false">AE14/AF14</f>
        <v>62.3571428571429</v>
      </c>
      <c r="AH14" s="86" t="n">
        <f aca="false">AG14*2</f>
        <v>124.714285714286</v>
      </c>
      <c r="AI14" s="153" t="n">
        <v>8.5</v>
      </c>
      <c r="AJ14" s="120" t="n">
        <f aca="false">F14+G14+H14+I14+K14+L14+N14+O14+V14+W14+Y14+Z14+AA14+AB14+AC14</f>
        <v>1011</v>
      </c>
      <c r="AK14" s="1" t="n">
        <v>15</v>
      </c>
      <c r="AL14" s="121" t="n">
        <f aca="false">AJ14/AK14</f>
        <v>67.4</v>
      </c>
      <c r="AM14" s="121" t="n">
        <f aca="false">AL14*2</f>
        <v>134.8</v>
      </c>
      <c r="AN14" s="1" t="n">
        <v>63</v>
      </c>
      <c r="AO14" s="1" t="n">
        <v>43</v>
      </c>
      <c r="AP14" s="1" t="n">
        <v>72</v>
      </c>
      <c r="AQ14" s="1" t="n">
        <v>63</v>
      </c>
      <c r="AR14" s="1" t="n">
        <v>51</v>
      </c>
      <c r="AS14" s="1" t="n">
        <v>42</v>
      </c>
      <c r="AT14" s="152" t="n">
        <v>8.5</v>
      </c>
      <c r="AU14" s="1" t="n">
        <f aca="false">SUM(AN14:AS14)</f>
        <v>334</v>
      </c>
      <c r="AV14" s="1" t="n">
        <v>6</v>
      </c>
      <c r="AW14" s="86" t="n">
        <f aca="false">AU14/AV14</f>
        <v>55.6666666666667</v>
      </c>
      <c r="AX14" s="86" t="n">
        <f aca="false">AW14*2</f>
        <v>111.333333333333</v>
      </c>
      <c r="AY14" s="1" t="n">
        <v>39</v>
      </c>
      <c r="AZ14" s="1" t="n">
        <v>48</v>
      </c>
      <c r="BA14" s="1" t="n">
        <v>37</v>
      </c>
      <c r="BB14" s="1" t="n">
        <v>67</v>
      </c>
      <c r="BC14" s="1" t="n">
        <v>30</v>
      </c>
      <c r="BD14" s="1" t="n">
        <v>44</v>
      </c>
      <c r="BE14" s="1" t="n">
        <v>5</v>
      </c>
      <c r="BF14" s="122" t="n">
        <f aca="false">SUM(AY14:BD14)</f>
        <v>265</v>
      </c>
      <c r="BG14" s="1" t="n">
        <v>6</v>
      </c>
      <c r="BH14" s="123" t="n">
        <f aca="false">BF14/BG14</f>
        <v>44.1666666666667</v>
      </c>
      <c r="BI14" s="123" t="n">
        <f aca="false">BH14*2</f>
        <v>88.3333333333333</v>
      </c>
      <c r="BJ14" s="124" t="str">
        <f aca="false">IF(OR($D14="",$AW14="",$BH14=""),"",IFERROR(IF(VALUE($BH14)&gt;VALUE($AW14),"▲ "&amp;TEXT(VALUE($BH14)-VALUE($AW14),"0.00"),IF(VALUE($BH14)&lt;VALUE($AW14),"▼ "&amp;TEXT(VALUE($AW14)-VALUE($BH14),"0.00"),"● 0.00")),""))</f>
        <v>▼ 11.50</v>
      </c>
      <c r="BK14" s="1" t="n">
        <f aca="false">SUM(AN14:AQ14)/4</f>
        <v>60.25</v>
      </c>
      <c r="BL14" s="125" t="str">
        <f aca="false">IF(OR(BK14="",BH14="",NOT(ISNUMBER(BK14)),NOT(ISNUMBER(BH14))),"",IF(BH14&gt;BK14,"▲ "&amp;TEXT(ABS(BH14-BK14),"0.00"),IF(BH14&lt;BK14,"▼ "&amp;TEXT(ABS(BH14-BK14),"0.00"),"● 0.00")))</f>
        <v>▼ 16.08</v>
      </c>
      <c r="BM14" s="1" t="n">
        <v>35</v>
      </c>
      <c r="BN14" s="1" t="n">
        <v>55</v>
      </c>
      <c r="BO14" s="1" t="n">
        <v>65</v>
      </c>
      <c r="BT14" s="1" t="n">
        <v>6.5</v>
      </c>
      <c r="BU14" s="122" t="n">
        <f aca="false">SUM(BM14:BS14)</f>
        <v>155</v>
      </c>
      <c r="BV14" s="1" t="n">
        <v>3</v>
      </c>
      <c r="BW14" s="123" t="n">
        <f aca="false">BU14/BV14</f>
        <v>51.6666666666667</v>
      </c>
      <c r="BX14" s="123" t="n">
        <f aca="false">BW14*2</f>
        <v>103.333333333333</v>
      </c>
    </row>
    <row r="15" customFormat="false" ht="15" hidden="true" customHeight="true" outlineLevel="0" collapsed="false">
      <c r="A15" s="115" t="s">
        <v>162</v>
      </c>
      <c r="B15" s="25" t="s">
        <v>181</v>
      </c>
      <c r="C15" s="48" t="s">
        <v>182</v>
      </c>
      <c r="D15" s="49" t="s">
        <v>184</v>
      </c>
      <c r="E15" s="25" t="s">
        <v>166</v>
      </c>
      <c r="F15" s="116"/>
      <c r="G15" s="116"/>
      <c r="H15" s="116"/>
      <c r="I15" s="116" t="n">
        <v>23</v>
      </c>
      <c r="J15" s="151" t="n">
        <v>3.5</v>
      </c>
      <c r="K15" s="132" t="n">
        <v>17</v>
      </c>
      <c r="L15" s="132" t="n">
        <v>20</v>
      </c>
      <c r="M15" s="152" t="n">
        <v>3.5</v>
      </c>
      <c r="N15" s="132" t="n">
        <v>14</v>
      </c>
      <c r="O15" s="132" t="n">
        <v>20</v>
      </c>
      <c r="P15" s="152" t="n">
        <v>3.5</v>
      </c>
      <c r="Q15" s="152" t="n">
        <v>3.5</v>
      </c>
      <c r="R15" s="1" t="n">
        <f aca="false">SUM(H15:O15)</f>
        <v>101</v>
      </c>
      <c r="S15" s="1" t="n">
        <v>5</v>
      </c>
      <c r="T15" s="86" t="n">
        <f aca="false">R15/S15</f>
        <v>20.2</v>
      </c>
      <c r="U15" s="86" t="n">
        <f aca="false">T15*2</f>
        <v>40.4</v>
      </c>
      <c r="V15" s="132" t="n">
        <v>27</v>
      </c>
      <c r="W15" s="132" t="n">
        <v>20</v>
      </c>
      <c r="X15" s="152" t="n">
        <v>3.5</v>
      </c>
      <c r="Y15" s="131" t="n">
        <v>10</v>
      </c>
      <c r="Z15" s="144" t="n">
        <v>16</v>
      </c>
      <c r="AA15" s="144" t="n">
        <v>18</v>
      </c>
      <c r="AB15" s="144" t="n">
        <v>10</v>
      </c>
      <c r="AC15" s="144" t="n">
        <v>24</v>
      </c>
      <c r="AD15" s="152" t="n">
        <v>3.5</v>
      </c>
      <c r="AE15" s="1" t="n">
        <f aca="false">SUM(V15:AC15)</f>
        <v>128.5</v>
      </c>
      <c r="AF15" s="1" t="n">
        <v>7</v>
      </c>
      <c r="AG15" s="86" t="n">
        <f aca="false">AE15/AF15</f>
        <v>18.3571428571429</v>
      </c>
      <c r="AH15" s="86" t="n">
        <f aca="false">AG15*2</f>
        <v>36.7142857142857</v>
      </c>
      <c r="AI15" s="153" t="n">
        <v>3.5</v>
      </c>
      <c r="AJ15" s="120" t="n">
        <f aca="false">F15+G15+H15+I15+K15+L15+N15+O15+V15+W15+Y15+Z15+AA15+AB15+AC15</f>
        <v>219</v>
      </c>
      <c r="AK15" s="1" t="n">
        <v>12</v>
      </c>
      <c r="AL15" s="121" t="n">
        <f aca="false">AJ15/AK15</f>
        <v>18.25</v>
      </c>
      <c r="AM15" s="121" t="n">
        <f aca="false">AL15*2</f>
        <v>36.5</v>
      </c>
      <c r="AN15" s="1" t="n">
        <v>6</v>
      </c>
      <c r="AO15" s="1" t="n">
        <v>16</v>
      </c>
      <c r="AP15" s="1" t="n">
        <v>16</v>
      </c>
      <c r="AQ15" s="1" t="n">
        <v>21</v>
      </c>
      <c r="AR15" s="1" t="n">
        <v>22</v>
      </c>
      <c r="AS15" s="1" t="n">
        <v>17</v>
      </c>
      <c r="AT15" s="152" t="n">
        <v>3.5</v>
      </c>
      <c r="AU15" s="1" t="n">
        <f aca="false">SUM(AN15:AS15)</f>
        <v>98</v>
      </c>
      <c r="AV15" s="1" t="n">
        <v>6</v>
      </c>
      <c r="AW15" s="86" t="n">
        <f aca="false">AU15/AV15</f>
        <v>16.3333333333333</v>
      </c>
      <c r="AX15" s="86" t="n">
        <f aca="false">AW15*2</f>
        <v>32.6666666666667</v>
      </c>
      <c r="AY15" s="1" t="n">
        <v>23</v>
      </c>
      <c r="AZ15" s="1" t="n">
        <v>21</v>
      </c>
      <c r="BA15" s="1" t="n">
        <v>16</v>
      </c>
      <c r="BB15" s="1" t="n">
        <v>24</v>
      </c>
      <c r="BC15" s="1" t="n">
        <v>17</v>
      </c>
      <c r="BD15" s="1" t="n">
        <v>27</v>
      </c>
      <c r="BE15" s="1" t="n">
        <v>2.5</v>
      </c>
      <c r="BF15" s="122" t="n">
        <f aca="false">SUM(AY15:BD15)</f>
        <v>128</v>
      </c>
      <c r="BG15" s="1" t="n">
        <v>6</v>
      </c>
      <c r="BH15" s="123" t="n">
        <f aca="false">BF15/BG15</f>
        <v>21.3333333333333</v>
      </c>
      <c r="BI15" s="123" t="n">
        <f aca="false">BH15*2</f>
        <v>42.6666666666667</v>
      </c>
      <c r="BJ15" s="124" t="str">
        <f aca="false">IF(OR($D15="",$AW15="",$BH15=""),"",IFERROR(IF(VALUE($BH15)&gt;VALUE($AW15),"▲ "&amp;TEXT(VALUE($BH15)-VALUE($AW15),"0.00"),IF(VALUE($BH15)&lt;VALUE($AW15),"▼ "&amp;TEXT(VALUE($AW15)-VALUE($BH15),"0.00"),"● 0.00")),""))</f>
        <v>▲ 5.00</v>
      </c>
      <c r="BK15" s="1" t="n">
        <f aca="false">SUM(AN15:AQ15)/4</f>
        <v>14.75</v>
      </c>
      <c r="BL15" s="125" t="str">
        <f aca="false">IF(OR(BK15="",BH15="",NOT(ISNUMBER(BK15)),NOT(ISNUMBER(BH15))),"",IF(BH15&gt;BK15,"▲ "&amp;TEXT(ABS(BH15-BK15),"0.00"),IF(BH15&lt;BK15,"▼ "&amp;TEXT(ABS(BH15-BK15),"0.00"),"● 0.00")))</f>
        <v>▲ 6.58</v>
      </c>
      <c r="BM15" s="1" t="n">
        <v>25</v>
      </c>
      <c r="BN15" s="1" t="n">
        <v>39</v>
      </c>
      <c r="BO15" s="1" t="n">
        <v>38</v>
      </c>
      <c r="BT15" s="1" t="n">
        <v>4.5</v>
      </c>
      <c r="BU15" s="122" t="n">
        <f aca="false">SUM(BM15:BS15)</f>
        <v>102</v>
      </c>
      <c r="BV15" s="1" t="n">
        <v>3</v>
      </c>
      <c r="BW15" s="123" t="n">
        <f aca="false">BU15/BV15</f>
        <v>34</v>
      </c>
      <c r="BX15" s="123" t="n">
        <f aca="false">BW15*2</f>
        <v>68</v>
      </c>
    </row>
    <row r="16" customFormat="false" ht="15" hidden="true" customHeight="true" outlineLevel="0" collapsed="false">
      <c r="A16" s="115" t="s">
        <v>162</v>
      </c>
      <c r="B16" s="25" t="s">
        <v>181</v>
      </c>
      <c r="C16" s="48" t="s">
        <v>182</v>
      </c>
      <c r="D16" s="49" t="s">
        <v>185</v>
      </c>
      <c r="E16" s="25" t="s">
        <v>166</v>
      </c>
      <c r="F16" s="116" t="n">
        <v>17</v>
      </c>
      <c r="G16" s="116" t="n">
        <v>21.5</v>
      </c>
      <c r="H16" s="116" t="n">
        <v>15.5</v>
      </c>
      <c r="I16" s="116" t="n">
        <v>19</v>
      </c>
      <c r="J16" s="151" t="n">
        <v>2</v>
      </c>
      <c r="K16" s="132" t="n">
        <v>17</v>
      </c>
      <c r="L16" s="132" t="n">
        <v>16.5</v>
      </c>
      <c r="M16" s="152" t="n">
        <v>2</v>
      </c>
      <c r="N16" s="132" t="n">
        <v>14</v>
      </c>
      <c r="O16" s="132" t="n">
        <v>19</v>
      </c>
      <c r="P16" s="152" t="n">
        <v>2</v>
      </c>
      <c r="Q16" s="152" t="n">
        <v>2</v>
      </c>
      <c r="R16" s="1" t="n">
        <f aca="false">SUM(H16:O16)</f>
        <v>105</v>
      </c>
      <c r="S16" s="1" t="n">
        <v>6</v>
      </c>
      <c r="T16" s="86" t="n">
        <f aca="false">R16/S16</f>
        <v>17.5</v>
      </c>
      <c r="U16" s="86" t="n">
        <f aca="false">T16*2</f>
        <v>35</v>
      </c>
      <c r="V16" s="132" t="n">
        <v>14</v>
      </c>
      <c r="W16" s="132" t="n">
        <v>21.5</v>
      </c>
      <c r="X16" s="152" t="n">
        <v>2</v>
      </c>
      <c r="Y16" s="131" t="n">
        <v>15.5</v>
      </c>
      <c r="Z16" s="144" t="n">
        <v>18</v>
      </c>
      <c r="AA16" s="144" t="n">
        <v>27.3</v>
      </c>
      <c r="AB16" s="144" t="n">
        <v>18</v>
      </c>
      <c r="AC16" s="144" t="n">
        <v>7.5</v>
      </c>
      <c r="AD16" s="152" t="n">
        <v>2</v>
      </c>
      <c r="AE16" s="1" t="n">
        <f aca="false">SUM(V16:AC16)</f>
        <v>123.8</v>
      </c>
      <c r="AF16" s="1" t="n">
        <v>7</v>
      </c>
      <c r="AG16" s="86" t="n">
        <f aca="false">AE16/AF16</f>
        <v>17.6857142857143</v>
      </c>
      <c r="AH16" s="86" t="n">
        <f aca="false">AG16*2</f>
        <v>35.3714285714286</v>
      </c>
      <c r="AI16" s="153" t="n">
        <v>2</v>
      </c>
      <c r="AJ16" s="120" t="n">
        <f aca="false">F16+G16+H16+I16+K16+L16+N16+O16+V16+W16+Y16+Z16+AA16+AB16+AC16</f>
        <v>261.3</v>
      </c>
      <c r="AK16" s="1" t="n">
        <v>15</v>
      </c>
      <c r="AL16" s="121" t="n">
        <f aca="false">AJ16/AK16</f>
        <v>17.42</v>
      </c>
      <c r="AM16" s="121" t="n">
        <f aca="false">AL16*2</f>
        <v>34.84</v>
      </c>
      <c r="AN16" s="1" t="n">
        <v>20</v>
      </c>
      <c r="AO16" s="1" t="n">
        <v>14</v>
      </c>
      <c r="AP16" s="1" t="n">
        <v>17.5</v>
      </c>
      <c r="AQ16" s="1" t="n">
        <v>11.5</v>
      </c>
      <c r="AR16" s="1" t="n">
        <v>16.5</v>
      </c>
      <c r="AS16" s="1" t="n">
        <v>9</v>
      </c>
      <c r="AT16" s="152" t="n">
        <v>2</v>
      </c>
      <c r="AU16" s="1" t="n">
        <f aca="false">SUM(AN16:AS16)</f>
        <v>88.5</v>
      </c>
      <c r="AV16" s="1" t="n">
        <v>6</v>
      </c>
      <c r="AW16" s="86" t="n">
        <f aca="false">AU16/AV16</f>
        <v>14.75</v>
      </c>
      <c r="AX16" s="86" t="n">
        <f aca="false">AW16*2</f>
        <v>29.5</v>
      </c>
      <c r="AY16" s="1" t="n">
        <v>17</v>
      </c>
      <c r="AZ16" s="1" t="n">
        <v>12</v>
      </c>
      <c r="BA16" s="1" t="n">
        <v>11</v>
      </c>
      <c r="BB16" s="1" t="n">
        <v>9</v>
      </c>
      <c r="BC16" s="1" t="n">
        <v>11</v>
      </c>
      <c r="BD16" s="1" t="n">
        <v>10.5</v>
      </c>
      <c r="BE16" s="1" t="n">
        <v>2</v>
      </c>
      <c r="BF16" s="122" t="n">
        <f aca="false">SUM(AY16:BD16)</f>
        <v>70.5</v>
      </c>
      <c r="BG16" s="1" t="n">
        <v>6</v>
      </c>
      <c r="BH16" s="123" t="n">
        <f aca="false">BF16/BG16</f>
        <v>11.75</v>
      </c>
      <c r="BI16" s="123" t="n">
        <f aca="false">BH16*2</f>
        <v>23.5</v>
      </c>
      <c r="BJ16" s="124" t="str">
        <f aca="false">IF(OR($D16="",$AW16="",$BH16=""),"",IFERROR(IF(VALUE($BH16)&gt;VALUE($AW16),"▲ "&amp;TEXT(VALUE($BH16)-VALUE($AW16),"0.00"),IF(VALUE($BH16)&lt;VALUE($AW16),"▼ "&amp;TEXT(VALUE($AW16)-VALUE($BH16),"0.00"),"● 0.00")),""))</f>
        <v>▼ 3.00</v>
      </c>
      <c r="BK16" s="1" t="n">
        <f aca="false">SUM(AN16:AQ16)/4</f>
        <v>15.75</v>
      </c>
      <c r="BL16" s="125" t="str">
        <f aca="false">IF(OR(BK16="",BH16="",NOT(ISNUMBER(BK16)),NOT(ISNUMBER(BH16))),"",IF(BH16&gt;BK16,"▲ "&amp;TEXT(ABS(BH16-BK16),"0.00"),IF(BH16&lt;BK16,"▼ "&amp;TEXT(ABS(BH16-BK16),"0.00"),"● 0.00")))</f>
        <v>▼ 4.00</v>
      </c>
      <c r="BM16" s="1" t="n">
        <v>11</v>
      </c>
      <c r="BT16" s="1" t="n">
        <v>2</v>
      </c>
      <c r="BU16" s="122" t="n">
        <f aca="false">SUM(BM16:BS16)</f>
        <v>11</v>
      </c>
      <c r="BV16" s="1" t="n">
        <v>1</v>
      </c>
      <c r="BW16" s="123" t="n">
        <f aca="false">BU16/BV16</f>
        <v>11</v>
      </c>
      <c r="BX16" s="123" t="n">
        <f aca="false">BW16*2</f>
        <v>22</v>
      </c>
    </row>
    <row r="17" customFormat="false" ht="15" hidden="true" customHeight="true" outlineLevel="0" collapsed="false">
      <c r="A17" s="115" t="s">
        <v>162</v>
      </c>
      <c r="B17" s="25" t="s">
        <v>181</v>
      </c>
      <c r="C17" s="48" t="s">
        <v>182</v>
      </c>
      <c r="D17" s="49" t="s">
        <v>186</v>
      </c>
      <c r="E17" s="25" t="s">
        <v>166</v>
      </c>
      <c r="F17" s="116" t="n">
        <v>93</v>
      </c>
      <c r="G17" s="116" t="n">
        <v>88</v>
      </c>
      <c r="H17" s="116" t="n">
        <v>85</v>
      </c>
      <c r="I17" s="116" t="n">
        <v>91</v>
      </c>
      <c r="J17" s="116" t="n">
        <v>10</v>
      </c>
      <c r="K17" s="132" t="n">
        <v>92</v>
      </c>
      <c r="L17" s="132" t="n">
        <v>79</v>
      </c>
      <c r="M17" s="132" t="n">
        <v>10</v>
      </c>
      <c r="N17" s="132" t="n">
        <v>78</v>
      </c>
      <c r="O17" s="132" t="n">
        <v>88</v>
      </c>
      <c r="P17" s="132" t="n">
        <v>10</v>
      </c>
      <c r="Q17" s="132" t="n">
        <v>10</v>
      </c>
      <c r="R17" s="1" t="n">
        <f aca="false">SUM(H17:O17)</f>
        <v>533</v>
      </c>
      <c r="S17" s="1" t="n">
        <v>6</v>
      </c>
      <c r="T17" s="86" t="n">
        <f aca="false">R17/S17</f>
        <v>88.8333333333333</v>
      </c>
      <c r="U17" s="86" t="n">
        <f aca="false">T17*2</f>
        <v>177.666666666667</v>
      </c>
      <c r="V17" s="132" t="n">
        <v>62</v>
      </c>
      <c r="W17" s="132" t="n">
        <v>72</v>
      </c>
      <c r="X17" s="132" t="n">
        <v>10</v>
      </c>
      <c r="Y17" s="131" t="n">
        <v>91</v>
      </c>
      <c r="Z17" s="144" t="n">
        <v>88</v>
      </c>
      <c r="AA17" s="144" t="n">
        <v>90</v>
      </c>
      <c r="AB17" s="144" t="n">
        <v>89</v>
      </c>
      <c r="AC17" s="144" t="n">
        <v>76</v>
      </c>
      <c r="AD17" s="132" t="n">
        <v>10</v>
      </c>
      <c r="AE17" s="1" t="n">
        <f aca="false">SUM(V17:AC17)</f>
        <v>578</v>
      </c>
      <c r="AF17" s="1" t="n">
        <v>7</v>
      </c>
      <c r="AG17" s="86" t="n">
        <f aca="false">AE17/AF17</f>
        <v>82.5714285714286</v>
      </c>
      <c r="AH17" s="86" t="n">
        <f aca="false">AG17*2</f>
        <v>165.142857142857</v>
      </c>
      <c r="AI17" s="154" t="n">
        <v>10</v>
      </c>
      <c r="AJ17" s="120" t="n">
        <f aca="false">F17+G17+H17+I17+K17+L17+N17+O17+V17+W17+Y17+Z17+AA17+AB17+AC17</f>
        <v>1262</v>
      </c>
      <c r="AK17" s="1" t="n">
        <v>15</v>
      </c>
      <c r="AL17" s="121" t="n">
        <f aca="false">AJ17/AK17</f>
        <v>84.1333333333333</v>
      </c>
      <c r="AM17" s="121" t="n">
        <f aca="false">AL17*2</f>
        <v>168.266666666667</v>
      </c>
      <c r="AN17" s="1" t="n">
        <v>66</v>
      </c>
      <c r="AO17" s="1" t="n">
        <v>79</v>
      </c>
      <c r="AP17" s="1" t="n">
        <v>44</v>
      </c>
      <c r="AQ17" s="1" t="n">
        <v>44</v>
      </c>
      <c r="AR17" s="1" t="n">
        <v>41</v>
      </c>
      <c r="AT17" s="132" t="n">
        <v>10</v>
      </c>
      <c r="AU17" s="1" t="n">
        <f aca="false">SUM(AN17:AS17)</f>
        <v>274</v>
      </c>
      <c r="AV17" s="1" t="n">
        <v>6</v>
      </c>
      <c r="AW17" s="86" t="n">
        <f aca="false">AU17/AV17</f>
        <v>45.6666666666667</v>
      </c>
      <c r="AX17" s="86" t="n">
        <f aca="false">AW17*2</f>
        <v>91.3333333333333</v>
      </c>
      <c r="AY17" s="1" t="n">
        <v>4</v>
      </c>
      <c r="AZ17" s="1" t="n">
        <v>28</v>
      </c>
      <c r="BA17" s="1" t="n">
        <v>29</v>
      </c>
      <c r="BE17" s="1" t="n">
        <v>4.5</v>
      </c>
      <c r="BF17" s="122" t="n">
        <f aca="false">SUM(AY17:BD17)</f>
        <v>61</v>
      </c>
      <c r="BG17" s="1" t="n">
        <v>3</v>
      </c>
      <c r="BH17" s="123" t="n">
        <f aca="false">BF17/BG17</f>
        <v>20.3333333333333</v>
      </c>
      <c r="BI17" s="123" t="n">
        <f aca="false">BH17*2</f>
        <v>40.6666666666667</v>
      </c>
      <c r="BJ17" s="124" t="str">
        <f aca="false">IF(OR($D17="",$AW17="",$BH17=""),"",IFERROR(IF(VALUE($BH17)&gt;VALUE($AW17),"▲ "&amp;TEXT(VALUE($BH17)-VALUE($AW17),"0.00"),IF(VALUE($BH17)&lt;VALUE($AW17),"▼ "&amp;TEXT(VALUE($AW17)-VALUE($BH17),"0.00"),"● 0.00")),""))</f>
        <v>▼ 25.33</v>
      </c>
      <c r="BK17" s="1" t="n">
        <f aca="false">SUM(AN17:AQ17)/4</f>
        <v>58.25</v>
      </c>
      <c r="BL17" s="125" t="str">
        <f aca="false">IF(OR(BK17="",BH17="",NOT(ISNUMBER(BK17)),NOT(ISNUMBER(BH17))),"",IF(BH17&gt;BK17,"▲ "&amp;TEXT(ABS(BH17-BK17),"0.00"),IF(BH17&lt;BK17,"▼ "&amp;TEXT(ABS(BH17-BK17),"0.00"),"● 0.00")))</f>
        <v>▼ 37.92</v>
      </c>
      <c r="BT17" s="1" t="n">
        <v>4.5</v>
      </c>
      <c r="BU17" s="122" t="n">
        <f aca="false">SUM(BM17:BS17)</f>
        <v>0</v>
      </c>
      <c r="BV17" s="1" t="n">
        <v>3</v>
      </c>
      <c r="BW17" s="123" t="n">
        <f aca="false">BU17/BV17</f>
        <v>0</v>
      </c>
      <c r="BX17" s="123" t="n">
        <f aca="false">BW17*2</f>
        <v>0</v>
      </c>
    </row>
    <row r="18" customFormat="false" ht="15" hidden="true" customHeight="true" outlineLevel="0" collapsed="false">
      <c r="A18" s="115" t="s">
        <v>162</v>
      </c>
      <c r="B18" s="25" t="s">
        <v>188</v>
      </c>
      <c r="C18" s="23" t="s">
        <v>189</v>
      </c>
      <c r="D18" s="52" t="s">
        <v>190</v>
      </c>
      <c r="E18" s="25" t="s">
        <v>166</v>
      </c>
      <c r="F18" s="116" t="n">
        <v>48</v>
      </c>
      <c r="G18" s="116" t="n">
        <v>36</v>
      </c>
      <c r="H18" s="116" t="n">
        <v>28</v>
      </c>
      <c r="I18" s="116" t="n">
        <v>40</v>
      </c>
      <c r="J18" s="116" t="n">
        <v>11</v>
      </c>
      <c r="K18" s="117" t="n">
        <v>52</v>
      </c>
      <c r="L18" s="117" t="n">
        <v>57</v>
      </c>
      <c r="M18" s="117" t="n">
        <v>11</v>
      </c>
      <c r="N18" s="117" t="n">
        <v>43</v>
      </c>
      <c r="O18" s="117" t="n">
        <v>56</v>
      </c>
      <c r="P18" s="117" t="n">
        <v>11</v>
      </c>
      <c r="Q18" s="118" t="n">
        <v>10</v>
      </c>
      <c r="R18" s="1" t="n">
        <f aca="false">SUM(H18:O18)</f>
        <v>298</v>
      </c>
      <c r="S18" s="1" t="n">
        <v>6</v>
      </c>
      <c r="T18" s="86" t="n">
        <f aca="false">R18/S18</f>
        <v>49.6666666666667</v>
      </c>
      <c r="U18" s="86" t="n">
        <f aca="false">T18*2</f>
        <v>99.3333333333333</v>
      </c>
      <c r="V18" s="117" t="n">
        <v>52</v>
      </c>
      <c r="W18" s="117" t="n">
        <v>55</v>
      </c>
      <c r="X18" s="117" t="n">
        <v>10</v>
      </c>
      <c r="Y18" s="118" t="n">
        <v>54</v>
      </c>
      <c r="Z18" s="119" t="n">
        <v>52</v>
      </c>
      <c r="AA18" s="155" t="n">
        <v>59</v>
      </c>
      <c r="AB18" s="155" t="n">
        <v>59</v>
      </c>
      <c r="AC18" s="155" t="n">
        <v>54</v>
      </c>
      <c r="AD18" s="118" t="n">
        <v>10</v>
      </c>
      <c r="AE18" s="1" t="n">
        <f aca="false">SUM(V18:AC18)</f>
        <v>395</v>
      </c>
      <c r="AF18" s="1" t="n">
        <v>7</v>
      </c>
      <c r="AG18" s="86" t="n">
        <f aca="false">AE18/AF18</f>
        <v>56.4285714285714</v>
      </c>
      <c r="AH18" s="86" t="n">
        <f aca="false">AG18*2</f>
        <v>112.857142857143</v>
      </c>
      <c r="AI18" s="119" t="n">
        <v>10</v>
      </c>
      <c r="AJ18" s="120" t="n">
        <f aca="false">F18+G18+H18+I18+K18+L18+N18+O18+V18+W18+Y18+Z18+AA18+AB18+AC18</f>
        <v>745</v>
      </c>
      <c r="AK18" s="1" t="n">
        <v>15</v>
      </c>
      <c r="AL18" s="121" t="n">
        <f aca="false">AJ18/AK18</f>
        <v>49.6666666666667</v>
      </c>
      <c r="AM18" s="121" t="n">
        <f aca="false">AL18*2</f>
        <v>99.3333333333333</v>
      </c>
      <c r="AN18" s="1" t="n">
        <v>49</v>
      </c>
      <c r="AO18" s="1" t="n">
        <v>56</v>
      </c>
      <c r="AP18" s="1" t="n">
        <v>59</v>
      </c>
      <c r="AQ18" s="1" t="n">
        <v>75</v>
      </c>
      <c r="AR18" s="1" t="n">
        <v>66</v>
      </c>
      <c r="AS18" s="1" t="n">
        <v>72</v>
      </c>
      <c r="AT18" s="118" t="n">
        <v>10</v>
      </c>
      <c r="AU18" s="1" t="n">
        <f aca="false">SUM(AN18:AS18)</f>
        <v>377</v>
      </c>
      <c r="AV18" s="1" t="n">
        <v>6</v>
      </c>
      <c r="AW18" s="86" t="n">
        <f aca="false">AU18/AV18</f>
        <v>62.8333333333333</v>
      </c>
      <c r="AX18" s="86" t="n">
        <f aca="false">AW18*2</f>
        <v>125.666666666667</v>
      </c>
      <c r="AY18" s="1" t="n">
        <v>64</v>
      </c>
      <c r="AZ18" s="1" t="n">
        <v>67</v>
      </c>
      <c r="BA18" s="1" t="n">
        <v>58</v>
      </c>
      <c r="BB18" s="1" t="n">
        <v>59</v>
      </c>
      <c r="BC18" s="1" t="n">
        <v>52</v>
      </c>
      <c r="BD18" s="1" t="n">
        <v>52</v>
      </c>
      <c r="BE18" s="1" t="n">
        <v>10</v>
      </c>
      <c r="BF18" s="122" t="n">
        <f aca="false">SUM(AY18:BD18)</f>
        <v>352</v>
      </c>
      <c r="BG18" s="1" t="n">
        <v>6</v>
      </c>
      <c r="BH18" s="123" t="n">
        <f aca="false">BF18/BG18</f>
        <v>58.6666666666667</v>
      </c>
      <c r="BI18" s="123" t="n">
        <f aca="false">BH18*2</f>
        <v>117.333333333333</v>
      </c>
      <c r="BJ18" s="124" t="str">
        <f aca="false">IF(OR($D18="",$AW18="",$BH18=""),"",IFERROR(IF(VALUE($BH18)&gt;VALUE($AW18),"▲ "&amp;TEXT(VALUE($BH18)-VALUE($AW18),"0.00"),IF(VALUE($BH18)&lt;VALUE($AW18),"▼ "&amp;TEXT(VALUE($AW18)-VALUE($BH18),"0.00"),"● 0.00")),""))</f>
        <v>▼ 4.17</v>
      </c>
      <c r="BK18" s="1" t="n">
        <f aca="false">SUM(AN18:AQ18)/4</f>
        <v>59.75</v>
      </c>
      <c r="BL18" s="125" t="str">
        <f aca="false">IF(OR(BK18="",BH18="",NOT(ISNUMBER(BK18)),NOT(ISNUMBER(BH18))),"",IF(BH18&gt;BK18,"▲ "&amp;TEXT(ABS(BH18-BK18),"0.00"),IF(BH18&lt;BK18,"▼ "&amp;TEXT(ABS(BH18-BK18),"0.00"),"● 0.00")))</f>
        <v>▼ 1.08</v>
      </c>
      <c r="BM18" s="1" t="n">
        <v>53</v>
      </c>
      <c r="BN18" s="1" t="n">
        <v>60</v>
      </c>
      <c r="BO18" s="1" t="n">
        <v>54</v>
      </c>
      <c r="BT18" s="1" t="n">
        <v>10</v>
      </c>
      <c r="BU18" s="122" t="n">
        <f aca="false">SUM(BM18:BS18)</f>
        <v>167</v>
      </c>
      <c r="BV18" s="1" t="n">
        <v>3</v>
      </c>
      <c r="BW18" s="123" t="n">
        <f aca="false">BU18/BV18</f>
        <v>55.6666666666667</v>
      </c>
      <c r="BX18" s="123" t="n">
        <f aca="false">BW18*2</f>
        <v>111.333333333333</v>
      </c>
    </row>
    <row r="19" customFormat="false" ht="15" hidden="true" customHeight="true" outlineLevel="0" collapsed="false">
      <c r="A19" s="115" t="s">
        <v>162</v>
      </c>
      <c r="B19" s="25" t="s">
        <v>188</v>
      </c>
      <c r="C19" s="23" t="s">
        <v>189</v>
      </c>
      <c r="D19" s="52" t="s">
        <v>191</v>
      </c>
      <c r="E19" s="25" t="s">
        <v>166</v>
      </c>
      <c r="F19" s="116" t="n">
        <v>49</v>
      </c>
      <c r="G19" s="116" t="n">
        <v>73</v>
      </c>
      <c r="H19" s="116" t="n">
        <v>69</v>
      </c>
      <c r="I19" s="116" t="n">
        <v>76</v>
      </c>
      <c r="J19" s="116" t="n">
        <v>11</v>
      </c>
      <c r="K19" s="117" t="n">
        <v>83</v>
      </c>
      <c r="L19" s="117" t="n">
        <v>70</v>
      </c>
      <c r="M19" s="117" t="n">
        <v>11</v>
      </c>
      <c r="N19" s="117" t="n">
        <v>63</v>
      </c>
      <c r="O19" s="117" t="n">
        <v>74</v>
      </c>
      <c r="P19" s="117" t="n">
        <v>11</v>
      </c>
      <c r="Q19" s="118" t="n">
        <v>11</v>
      </c>
      <c r="R19" s="1" t="n">
        <f aca="false">SUM(H19:O19)</f>
        <v>457</v>
      </c>
      <c r="S19" s="1" t="n">
        <v>6</v>
      </c>
      <c r="T19" s="86" t="n">
        <f aca="false">R19/S19</f>
        <v>76.1666666666667</v>
      </c>
      <c r="U19" s="86" t="n">
        <f aca="false">T19*2</f>
        <v>152.333333333333</v>
      </c>
      <c r="V19" s="117" t="n">
        <v>66</v>
      </c>
      <c r="W19" s="117" t="n">
        <v>76</v>
      </c>
      <c r="X19" s="117" t="n">
        <v>11</v>
      </c>
      <c r="Y19" s="118" t="n">
        <v>72</v>
      </c>
      <c r="Z19" s="119" t="n">
        <v>70</v>
      </c>
      <c r="AA19" s="118" t="n">
        <v>67</v>
      </c>
      <c r="AB19" s="118" t="n">
        <v>67</v>
      </c>
      <c r="AC19" s="118" t="n">
        <v>52</v>
      </c>
      <c r="AD19" s="118" t="n">
        <v>11</v>
      </c>
      <c r="AE19" s="1" t="n">
        <f aca="false">SUM(V19:AC19)</f>
        <v>481</v>
      </c>
      <c r="AF19" s="1" t="n">
        <v>7</v>
      </c>
      <c r="AG19" s="86" t="n">
        <f aca="false">AE19/AF19</f>
        <v>68.7142857142857</v>
      </c>
      <c r="AH19" s="86" t="n">
        <f aca="false">AG19*2</f>
        <v>137.428571428571</v>
      </c>
      <c r="AI19" s="156" t="n">
        <v>11</v>
      </c>
      <c r="AJ19" s="120" t="n">
        <f aca="false">F19+G19+H19+I19+K19+L19+N19+O19+V19+W19+Y19+Z19+AA19+AB19+AC19</f>
        <v>1027</v>
      </c>
      <c r="AK19" s="1" t="n">
        <v>15</v>
      </c>
      <c r="AL19" s="121" t="n">
        <f aca="false">AJ19/AK19</f>
        <v>68.4666666666667</v>
      </c>
      <c r="AM19" s="121" t="n">
        <f aca="false">AL19*2</f>
        <v>136.933333333333</v>
      </c>
      <c r="AN19" s="1" t="n">
        <v>65</v>
      </c>
      <c r="AO19" s="1" t="n">
        <v>62</v>
      </c>
      <c r="AP19" s="1" t="n">
        <v>82</v>
      </c>
      <c r="AQ19" s="1" t="n">
        <v>79</v>
      </c>
      <c r="AR19" s="1" t="n">
        <v>71</v>
      </c>
      <c r="AS19" s="1" t="n">
        <v>65</v>
      </c>
      <c r="AT19" s="118" t="n">
        <v>11</v>
      </c>
      <c r="AU19" s="1" t="n">
        <f aca="false">SUM(AN19:AS19)</f>
        <v>424</v>
      </c>
      <c r="AV19" s="1" t="n">
        <v>6</v>
      </c>
      <c r="AW19" s="86" t="n">
        <f aca="false">AU19/AV19</f>
        <v>70.6666666666667</v>
      </c>
      <c r="AX19" s="86" t="n">
        <f aca="false">AW19*2</f>
        <v>141.333333333333</v>
      </c>
      <c r="AY19" s="1" t="n">
        <v>68</v>
      </c>
      <c r="AZ19" s="1" t="n">
        <v>61</v>
      </c>
      <c r="BA19" s="1" t="n">
        <v>58</v>
      </c>
      <c r="BB19" s="1" t="n">
        <v>69</v>
      </c>
      <c r="BC19" s="1" t="n">
        <v>78</v>
      </c>
      <c r="BD19" s="1" t="n">
        <v>75</v>
      </c>
      <c r="BE19" s="1" t="n">
        <v>10</v>
      </c>
      <c r="BF19" s="122" t="n">
        <f aca="false">SUM(AY19:BD19)</f>
        <v>409</v>
      </c>
      <c r="BG19" s="1" t="n">
        <v>6</v>
      </c>
      <c r="BH19" s="123" t="n">
        <f aca="false">BF19/BG19</f>
        <v>68.1666666666667</v>
      </c>
      <c r="BI19" s="123" t="n">
        <f aca="false">BH19*2</f>
        <v>136.333333333333</v>
      </c>
      <c r="BJ19" s="124" t="str">
        <f aca="false">IF(OR($D19="",$AW19="",$BH19=""),"",IFERROR(IF(VALUE($BH19)&gt;VALUE($AW19),"▲ "&amp;TEXT(VALUE($BH19)-VALUE($AW19),"0.00"),IF(VALUE($BH19)&lt;VALUE($AW19),"▼ "&amp;TEXT(VALUE($AW19)-VALUE($BH19),"0.00"),"● 0.00")),""))</f>
        <v>▼ 2.50</v>
      </c>
      <c r="BK19" s="1" t="n">
        <f aca="false">SUM(AN19:AQ19)/4</f>
        <v>72</v>
      </c>
      <c r="BL19" s="125" t="str">
        <f aca="false">IF(OR(BK19="",BH19="",NOT(ISNUMBER(BK19)),NOT(ISNUMBER(BH19))),"",IF(BH19&gt;BK19,"▲ "&amp;TEXT(ABS(BH19-BK19),"0.00"),IF(BH19&lt;BK19,"▼ "&amp;TEXT(ABS(BH19-BK19),"0.00"),"● 0.00")))</f>
        <v>▼ 3.83</v>
      </c>
      <c r="BM19" s="1" t="n">
        <v>78</v>
      </c>
      <c r="BN19" s="1" t="n">
        <v>77</v>
      </c>
      <c r="BO19" s="1" t="n">
        <v>78</v>
      </c>
      <c r="BT19" s="1" t="n">
        <v>11</v>
      </c>
      <c r="BU19" s="122" t="n">
        <f aca="false">SUM(BM19:BS19)</f>
        <v>233</v>
      </c>
      <c r="BV19" s="1" t="n">
        <v>3</v>
      </c>
      <c r="BW19" s="123" t="n">
        <f aca="false">BU19/BV19</f>
        <v>77.6666666666667</v>
      </c>
      <c r="BX19" s="123" t="n">
        <f aca="false">BW19*2</f>
        <v>155.333333333333</v>
      </c>
    </row>
    <row r="20" customFormat="false" ht="15" hidden="true" customHeight="true" outlineLevel="0" collapsed="false">
      <c r="A20" s="115" t="s">
        <v>162</v>
      </c>
      <c r="B20" s="25" t="s">
        <v>188</v>
      </c>
      <c r="C20" s="23" t="s">
        <v>189</v>
      </c>
      <c r="D20" s="53" t="s">
        <v>192</v>
      </c>
      <c r="E20" s="25" t="s">
        <v>166</v>
      </c>
      <c r="F20" s="134" t="n">
        <v>40</v>
      </c>
      <c r="G20" s="134" t="n">
        <v>49</v>
      </c>
      <c r="H20" s="134" t="n">
        <v>50</v>
      </c>
      <c r="I20" s="134" t="n">
        <v>49</v>
      </c>
      <c r="J20" s="116" t="n">
        <v>10</v>
      </c>
      <c r="K20" s="135" t="n">
        <v>47</v>
      </c>
      <c r="L20" s="135" t="n">
        <v>53</v>
      </c>
      <c r="M20" s="117" t="n">
        <v>10</v>
      </c>
      <c r="N20" s="135" t="n">
        <v>55</v>
      </c>
      <c r="O20" s="135" t="n">
        <v>54</v>
      </c>
      <c r="P20" s="117" t="n">
        <v>10</v>
      </c>
      <c r="Q20" s="118" t="n">
        <v>10</v>
      </c>
      <c r="R20" s="1" t="n">
        <f aca="false">SUM(H20:O20)</f>
        <v>328</v>
      </c>
      <c r="S20" s="1" t="n">
        <v>6</v>
      </c>
      <c r="T20" s="86" t="n">
        <f aca="false">R20/S20</f>
        <v>54.6666666666667</v>
      </c>
      <c r="U20" s="86" t="n">
        <f aca="false">T20*2</f>
        <v>109.333333333333</v>
      </c>
      <c r="V20" s="135" t="n">
        <v>43</v>
      </c>
      <c r="W20" s="135" t="n">
        <v>63</v>
      </c>
      <c r="X20" s="117" t="n">
        <v>10</v>
      </c>
      <c r="Y20" s="157" t="n">
        <v>59</v>
      </c>
      <c r="Z20" s="158" t="n">
        <v>45</v>
      </c>
      <c r="AA20" s="118" t="n">
        <v>50</v>
      </c>
      <c r="AB20" s="118" t="n">
        <v>49</v>
      </c>
      <c r="AC20" s="118" t="n">
        <v>34</v>
      </c>
      <c r="AD20" s="118" t="n">
        <v>10</v>
      </c>
      <c r="AE20" s="1" t="n">
        <f aca="false">SUM(V20:AC20)</f>
        <v>353</v>
      </c>
      <c r="AF20" s="1" t="n">
        <v>7</v>
      </c>
      <c r="AG20" s="86" t="n">
        <f aca="false">AE20/AF20</f>
        <v>50.4285714285714</v>
      </c>
      <c r="AH20" s="86" t="n">
        <f aca="false">AG20*2</f>
        <v>100.857142857143</v>
      </c>
      <c r="AI20" s="156" t="n">
        <v>10</v>
      </c>
      <c r="AJ20" s="120" t="n">
        <f aca="false">F20+G20+H20+I20+K20+L20+N20+O20+V20+W20+Y20+Z20+AA20+AB20+AC20</f>
        <v>740</v>
      </c>
      <c r="AK20" s="1" t="n">
        <v>15</v>
      </c>
      <c r="AL20" s="121" t="n">
        <f aca="false">AJ20/AK20</f>
        <v>49.3333333333333</v>
      </c>
      <c r="AM20" s="121" t="n">
        <f aca="false">AL20*2</f>
        <v>98.6666666666667</v>
      </c>
      <c r="AN20" s="1" t="n">
        <v>30</v>
      </c>
      <c r="AO20" s="1" t="n">
        <v>45</v>
      </c>
      <c r="AP20" s="1" t="n">
        <v>53</v>
      </c>
      <c r="AQ20" s="1" t="n">
        <v>59</v>
      </c>
      <c r="AR20" s="1" t="n">
        <v>79</v>
      </c>
      <c r="AS20" s="1" t="n">
        <v>61</v>
      </c>
      <c r="AT20" s="118" t="n">
        <v>10</v>
      </c>
      <c r="AU20" s="1" t="n">
        <f aca="false">SUM(AN20:AS20)</f>
        <v>327</v>
      </c>
      <c r="AV20" s="1" t="n">
        <v>6</v>
      </c>
      <c r="AW20" s="86" t="n">
        <f aca="false">AU20/AV20</f>
        <v>54.5</v>
      </c>
      <c r="AX20" s="86" t="n">
        <f aca="false">AW20*2</f>
        <v>109</v>
      </c>
      <c r="AY20" s="1" t="n">
        <v>59</v>
      </c>
      <c r="AZ20" s="1" t="n">
        <v>58.1</v>
      </c>
      <c r="BA20" s="1" t="n">
        <v>57</v>
      </c>
      <c r="BB20" s="1" t="n">
        <v>52</v>
      </c>
      <c r="BC20" s="1" t="n">
        <v>45</v>
      </c>
      <c r="BD20" s="1" t="n">
        <v>48</v>
      </c>
      <c r="BE20" s="1" t="n">
        <v>11</v>
      </c>
      <c r="BF20" s="122" t="n">
        <f aca="false">SUM(AY20:BD20)</f>
        <v>319.1</v>
      </c>
      <c r="BG20" s="1" t="n">
        <v>6</v>
      </c>
      <c r="BH20" s="123" t="n">
        <f aca="false">BF20/BG20</f>
        <v>53.1833333333333</v>
      </c>
      <c r="BI20" s="123" t="n">
        <f aca="false">BH20*2</f>
        <v>106.366666666667</v>
      </c>
      <c r="BJ20" s="124" t="str">
        <f aca="false">IF(OR($D20="",$AW20="",$BH20=""),"",IFERROR(IF(VALUE($BH20)&gt;VALUE($AW20),"▲ "&amp;TEXT(VALUE($BH20)-VALUE($AW20),"0.00"),IF(VALUE($BH20)&lt;VALUE($AW20),"▼ "&amp;TEXT(VALUE($AW20)-VALUE($BH20),"0.00"),"● 0.00")),""))</f>
        <v>▼ 1.32</v>
      </c>
      <c r="BK20" s="1" t="n">
        <f aca="false">SUM(AN20:AQ20)/4</f>
        <v>46.75</v>
      </c>
      <c r="BL20" s="125" t="str">
        <f aca="false">IF(OR(BK20="",BH20="",NOT(ISNUMBER(BK20)),NOT(ISNUMBER(BH20))),"",IF(BH20&gt;BK20,"▲ "&amp;TEXT(ABS(BH20-BK20),"0.00"),IF(BH20&lt;BK20,"▼ "&amp;TEXT(ABS(BH20-BK20),"0.00"),"● 0.00")))</f>
        <v>▲ 6.43</v>
      </c>
      <c r="BM20" s="1" t="n">
        <v>36</v>
      </c>
      <c r="BN20" s="1" t="n">
        <v>48</v>
      </c>
      <c r="BO20" s="1" t="n">
        <v>55</v>
      </c>
      <c r="BT20" s="1" t="n">
        <v>10</v>
      </c>
      <c r="BU20" s="122" t="n">
        <f aca="false">SUM(BM20:BS20)</f>
        <v>139</v>
      </c>
      <c r="BV20" s="1" t="n">
        <v>3</v>
      </c>
      <c r="BW20" s="123" t="n">
        <f aca="false">BU20/BV20</f>
        <v>46.3333333333333</v>
      </c>
      <c r="BX20" s="123" t="n">
        <f aca="false">BW20*2</f>
        <v>92.6666666666667</v>
      </c>
    </row>
    <row r="21" customFormat="false" ht="15" hidden="true" customHeight="true" outlineLevel="0" collapsed="false">
      <c r="A21" s="115" t="s">
        <v>162</v>
      </c>
      <c r="B21" s="25" t="s">
        <v>188</v>
      </c>
      <c r="C21" s="23" t="s">
        <v>193</v>
      </c>
      <c r="D21" s="49" t="s">
        <v>194</v>
      </c>
      <c r="E21" s="25" t="s">
        <v>166</v>
      </c>
      <c r="F21" s="116" t="n">
        <v>71</v>
      </c>
      <c r="G21" s="116" t="n">
        <v>54</v>
      </c>
      <c r="H21" s="116" t="n">
        <v>56</v>
      </c>
      <c r="I21" s="116" t="n">
        <v>57</v>
      </c>
      <c r="J21" s="116" t="n">
        <v>9</v>
      </c>
      <c r="K21" s="159" t="n">
        <v>49</v>
      </c>
      <c r="L21" s="159" t="n">
        <v>42</v>
      </c>
      <c r="M21" s="159" t="n">
        <v>9</v>
      </c>
      <c r="N21" s="159" t="n">
        <v>61</v>
      </c>
      <c r="O21" s="159" t="n">
        <v>55</v>
      </c>
      <c r="P21" s="159" t="n">
        <v>9</v>
      </c>
      <c r="Q21" s="129" t="n">
        <v>9</v>
      </c>
      <c r="R21" s="1" t="n">
        <f aca="false">SUM(H21:O21)</f>
        <v>338</v>
      </c>
      <c r="S21" s="1" t="n">
        <v>6</v>
      </c>
      <c r="T21" s="86" t="n">
        <f aca="false">R21/S21</f>
        <v>56.3333333333333</v>
      </c>
      <c r="U21" s="86" t="n">
        <f aca="false">T21*2</f>
        <v>112.666666666667</v>
      </c>
      <c r="V21" s="159" t="n">
        <v>55</v>
      </c>
      <c r="W21" s="159" t="n">
        <v>32</v>
      </c>
      <c r="X21" s="159" t="n">
        <v>9</v>
      </c>
      <c r="Y21" s="129" t="n">
        <v>46</v>
      </c>
      <c r="Z21" s="160" t="n">
        <v>54</v>
      </c>
      <c r="AA21" s="129" t="n">
        <v>52</v>
      </c>
      <c r="AB21" s="129" t="n">
        <v>35</v>
      </c>
      <c r="AC21" s="129" t="n">
        <v>30</v>
      </c>
      <c r="AD21" s="129" t="n">
        <v>9</v>
      </c>
      <c r="AE21" s="1" t="n">
        <f aca="false">SUM(V21:AC21)</f>
        <v>313</v>
      </c>
      <c r="AF21" s="1" t="n">
        <v>7</v>
      </c>
      <c r="AG21" s="86" t="n">
        <f aca="false">AE21/AF21</f>
        <v>44.7142857142857</v>
      </c>
      <c r="AH21" s="86" t="n">
        <f aca="false">AG21*2</f>
        <v>89.4285714285714</v>
      </c>
      <c r="AI21" s="133" t="n">
        <v>9</v>
      </c>
      <c r="AJ21" s="120" t="n">
        <f aca="false">F21+G21+H21+I21+K21+L21+N21+O21+V21+W21+Y21+Z21+AA21+AB21+AC21</f>
        <v>749</v>
      </c>
      <c r="AK21" s="1" t="n">
        <v>15</v>
      </c>
      <c r="AL21" s="121" t="n">
        <f aca="false">AJ21/AK21</f>
        <v>49.9333333333333</v>
      </c>
      <c r="AM21" s="121" t="n">
        <f aca="false">AL21*2</f>
        <v>99.8666666666667</v>
      </c>
      <c r="AN21" s="1" t="n">
        <v>56</v>
      </c>
      <c r="AO21" s="1" t="n">
        <v>55</v>
      </c>
      <c r="AP21" s="1" t="n">
        <v>55</v>
      </c>
      <c r="AQ21" s="1" t="n">
        <v>57</v>
      </c>
      <c r="AR21" s="1" t="n">
        <v>58</v>
      </c>
      <c r="AS21" s="1" t="n">
        <v>62</v>
      </c>
      <c r="AT21" s="129" t="n">
        <v>9</v>
      </c>
      <c r="AU21" s="1" t="n">
        <f aca="false">SUM(AN21:AS21)</f>
        <v>343</v>
      </c>
      <c r="AV21" s="1" t="n">
        <v>6</v>
      </c>
      <c r="AW21" s="86" t="n">
        <f aca="false">AU21/AV21</f>
        <v>57.1666666666667</v>
      </c>
      <c r="AX21" s="86" t="n">
        <f aca="false">AW21*2</f>
        <v>114.333333333333</v>
      </c>
      <c r="AY21" s="1" t="n">
        <v>49</v>
      </c>
      <c r="AZ21" s="1" t="n">
        <v>60</v>
      </c>
      <c r="BA21" s="1" t="n">
        <v>56</v>
      </c>
      <c r="BB21" s="1" t="n">
        <v>63</v>
      </c>
      <c r="BC21" s="1" t="n">
        <v>65</v>
      </c>
      <c r="BD21" s="1" t="n">
        <v>74</v>
      </c>
      <c r="BE21" s="1" t="n">
        <v>9</v>
      </c>
      <c r="BF21" s="122" t="n">
        <f aca="false">SUM(AY21:BD21)</f>
        <v>367</v>
      </c>
      <c r="BG21" s="1" t="n">
        <v>6</v>
      </c>
      <c r="BH21" s="123" t="n">
        <f aca="false">BF21/BG21</f>
        <v>61.1666666666667</v>
      </c>
      <c r="BI21" s="123" t="n">
        <f aca="false">BH21*2</f>
        <v>122.333333333333</v>
      </c>
      <c r="BJ21" s="124" t="str">
        <f aca="false">IF(OR($D21="",$AW21="",$BH21=""),"",IFERROR(IF(VALUE($BH21)&gt;VALUE($AW21),"▲ "&amp;TEXT(VALUE($BH21)-VALUE($AW21),"0.00"),IF(VALUE($BH21)&lt;VALUE($AW21),"▼ "&amp;TEXT(VALUE($AW21)-VALUE($BH21),"0.00"),"● 0.00")),""))</f>
        <v>▲ 4.00</v>
      </c>
      <c r="BK21" s="1" t="n">
        <f aca="false">SUM(AN21:AQ21)/4</f>
        <v>55.75</v>
      </c>
      <c r="BL21" s="125" t="str">
        <f aca="false">IF(OR(BK21="",BH21="",NOT(ISNUMBER(BK21)),NOT(ISNUMBER(BH21))),"",IF(BH21&gt;BK21,"▲ "&amp;TEXT(ABS(BH21-BK21),"0.00"),IF(BH21&lt;BK21,"▼ "&amp;TEXT(ABS(BH21-BK21),"0.00"),"● 0.00")))</f>
        <v>▲ 5.42</v>
      </c>
      <c r="BM21" s="1" t="n">
        <v>86</v>
      </c>
      <c r="BN21" s="1" t="n">
        <v>79</v>
      </c>
      <c r="BT21" s="1" t="n">
        <v>9</v>
      </c>
      <c r="BU21" s="122" t="n">
        <f aca="false">SUM(BM21:BS21)</f>
        <v>165</v>
      </c>
      <c r="BV21" s="1" t="n">
        <v>2</v>
      </c>
      <c r="BW21" s="123" t="n">
        <f aca="false">BU21/BV21</f>
        <v>82.5</v>
      </c>
      <c r="BX21" s="123" t="n">
        <f aca="false">BW21*2</f>
        <v>165</v>
      </c>
    </row>
    <row r="22" customFormat="false" ht="15" hidden="true" customHeight="true" outlineLevel="0" collapsed="false">
      <c r="A22" s="161" t="s">
        <v>162</v>
      </c>
      <c r="B22" s="25" t="s">
        <v>278</v>
      </c>
      <c r="C22" s="23" t="s">
        <v>164</v>
      </c>
      <c r="D22" s="162" t="s">
        <v>195</v>
      </c>
      <c r="E22" s="25" t="s">
        <v>176</v>
      </c>
      <c r="F22" s="116"/>
      <c r="G22" s="116"/>
      <c r="H22" s="116"/>
      <c r="I22" s="116"/>
      <c r="J22" s="116"/>
      <c r="K22" s="159" t="n">
        <v>5</v>
      </c>
      <c r="L22" s="159" t="n">
        <v>32</v>
      </c>
      <c r="M22" s="159" t="n">
        <v>4</v>
      </c>
      <c r="N22" s="159" t="n">
        <v>22</v>
      </c>
      <c r="O22" s="159" t="n">
        <v>22</v>
      </c>
      <c r="P22" s="159" t="n">
        <v>4</v>
      </c>
      <c r="Q22" s="129" t="n">
        <v>4</v>
      </c>
      <c r="R22" s="1" t="n">
        <f aca="false">SUM(H22:O22)</f>
        <v>85</v>
      </c>
      <c r="S22" s="1" t="n">
        <v>6</v>
      </c>
      <c r="T22" s="86" t="n">
        <f aca="false">R22/S22</f>
        <v>14.1666666666667</v>
      </c>
      <c r="U22" s="86" t="n">
        <f aca="false">T22*2</f>
        <v>28.3333333333333</v>
      </c>
      <c r="V22" s="163" t="n">
        <v>32</v>
      </c>
      <c r="W22" s="163" t="n">
        <v>22</v>
      </c>
      <c r="X22" s="163" t="n">
        <v>4</v>
      </c>
      <c r="Y22" s="129" t="n">
        <v>23</v>
      </c>
      <c r="Z22" s="160" t="n">
        <v>21</v>
      </c>
      <c r="AA22" s="160" t="n">
        <v>27</v>
      </c>
      <c r="AB22" s="160" t="n">
        <v>13</v>
      </c>
      <c r="AC22" s="160" t="n">
        <v>22</v>
      </c>
      <c r="AD22" s="129" t="n">
        <v>4</v>
      </c>
      <c r="AE22" s="1" t="n">
        <f aca="false">SUM(V22:AC22)</f>
        <v>164</v>
      </c>
      <c r="AF22" s="1" t="n">
        <v>7</v>
      </c>
      <c r="AG22" s="86" t="n">
        <f aca="false">AE22/AF22</f>
        <v>23.4285714285714</v>
      </c>
      <c r="AH22" s="86" t="n">
        <f aca="false">AG22*2</f>
        <v>46.8571428571429</v>
      </c>
      <c r="AI22" s="160" t="n">
        <v>4</v>
      </c>
      <c r="AJ22" s="120" t="n">
        <f aca="false">F22+G22+H22+I22+K22+L22+N22+O22+V22+W22+Y22+Z22+AA22+AB22+AC22</f>
        <v>241</v>
      </c>
      <c r="AK22" s="1" t="n">
        <v>11</v>
      </c>
      <c r="AL22" s="121" t="n">
        <f aca="false">AJ22/AK22</f>
        <v>21.9090909090909</v>
      </c>
      <c r="AM22" s="121" t="n">
        <f aca="false">AL22*2</f>
        <v>43.8181818181818</v>
      </c>
      <c r="AN22" s="1" t="n">
        <v>0</v>
      </c>
      <c r="AO22" s="1" t="n">
        <v>0</v>
      </c>
      <c r="AP22" s="1" t="n">
        <v>0</v>
      </c>
      <c r="AQ22" s="1" t="n">
        <v>0</v>
      </c>
      <c r="AR22" s="1" t="n">
        <v>0</v>
      </c>
      <c r="AS22" s="1" t="n">
        <v>0</v>
      </c>
      <c r="AT22" s="129" t="n">
        <v>0</v>
      </c>
      <c r="AU22" s="1" t="n">
        <f aca="false">SUM(AN22:AS22)</f>
        <v>0</v>
      </c>
      <c r="AV22" s="1" t="n">
        <v>6</v>
      </c>
      <c r="AW22" s="86" t="n">
        <f aca="false">AU22/AV22</f>
        <v>0</v>
      </c>
      <c r="AX22" s="86" t="n">
        <f aca="false">AW22*2</f>
        <v>0</v>
      </c>
      <c r="AY22" s="145"/>
      <c r="AZ22" s="145"/>
      <c r="BA22" s="145"/>
      <c r="BB22" s="145"/>
      <c r="BC22" s="145"/>
      <c r="BD22" s="145"/>
      <c r="BE22" s="145"/>
      <c r="BF22" s="146"/>
      <c r="BG22" s="145"/>
      <c r="BH22" s="147"/>
      <c r="BI22" s="147"/>
      <c r="BJ22" s="148" t="str">
        <f aca="false">IF(OR($D22="",$AW22="",$BH22=""),"",IFERROR(IF(VALUE($BH22)&gt;VALUE($AW22),"▲ "&amp;TEXT(VALUE($BH22)-VALUE($AW22),"0.00"),IF(VALUE($BH22)&lt;VALUE($AW22),"▼ "&amp;TEXT(VALUE($AW22)-VALUE($BH22),"0.00"),"● 0.00")),""))</f>
        <v/>
      </c>
      <c r="BK22" s="145" t="n">
        <f aca="false">SUM(AN22:AQ22)/4</f>
        <v>0</v>
      </c>
      <c r="BL22" s="149" t="str">
        <f aca="false">IF(OR(BK22="",BH22="",NOT(ISNUMBER(BK22)),NOT(ISNUMBER(BH22))),"",IF(BH22&gt;BK22,"▲ "&amp;TEXT(ABS(BH22-BK22),"0.00"),IF(BH22&lt;BK22,"▼ "&amp;TEXT(ABS(BH22-BK22),"0.00"),"● 0.00")))</f>
        <v/>
      </c>
      <c r="BM22" s="145"/>
      <c r="BN22" s="145"/>
      <c r="BO22" s="145"/>
      <c r="BP22" s="145"/>
      <c r="BQ22" s="145"/>
      <c r="BR22" s="145"/>
      <c r="BS22" s="145"/>
      <c r="BT22" s="145"/>
      <c r="BU22" s="146"/>
      <c r="BV22" s="145"/>
      <c r="BW22" s="147"/>
      <c r="BX22" s="147"/>
    </row>
    <row r="23" customFormat="false" ht="15" hidden="true" customHeight="true" outlineLevel="0" collapsed="false">
      <c r="A23" s="161" t="s">
        <v>162</v>
      </c>
      <c r="B23" s="25" t="s">
        <v>188</v>
      </c>
      <c r="C23" s="55" t="s">
        <v>196</v>
      </c>
      <c r="D23" s="56" t="s">
        <v>197</v>
      </c>
      <c r="E23" s="25" t="s">
        <v>166</v>
      </c>
      <c r="F23" s="116"/>
      <c r="G23" s="116"/>
      <c r="H23" s="116"/>
      <c r="I23" s="116"/>
      <c r="J23" s="116"/>
      <c r="K23" s="116"/>
      <c r="L23" s="116"/>
      <c r="M23" s="116"/>
      <c r="N23" s="116"/>
      <c r="O23" s="116"/>
      <c r="P23" s="116"/>
      <c r="Q23" s="129" t="n">
        <v>2</v>
      </c>
      <c r="R23" s="1" t="n">
        <f aca="false">SUM(H23:O23)</f>
        <v>0</v>
      </c>
      <c r="S23" s="1" t="n">
        <v>6</v>
      </c>
      <c r="T23" s="86" t="n">
        <f aca="false">R23/S23</f>
        <v>0</v>
      </c>
      <c r="U23" s="86" t="n">
        <f aca="false">T23*2</f>
        <v>0</v>
      </c>
      <c r="V23" s="163" t="n">
        <v>32</v>
      </c>
      <c r="W23" s="163" t="n">
        <v>26</v>
      </c>
      <c r="X23" s="163" t="n">
        <v>2</v>
      </c>
      <c r="Y23" s="164" t="n">
        <v>26</v>
      </c>
      <c r="Z23" s="165" t="n">
        <v>29</v>
      </c>
      <c r="AA23" s="165" t="n">
        <v>18</v>
      </c>
      <c r="AB23" s="165" t="n">
        <v>15</v>
      </c>
      <c r="AC23" s="165" t="n">
        <v>24</v>
      </c>
      <c r="AD23" s="129" t="n">
        <v>2</v>
      </c>
      <c r="AE23" s="1" t="n">
        <f aca="false">SUM(V23:AC23)</f>
        <v>172</v>
      </c>
      <c r="AF23" s="1" t="n">
        <v>7</v>
      </c>
      <c r="AG23" s="86" t="n">
        <f aca="false">AE23/AF23</f>
        <v>24.5714285714286</v>
      </c>
      <c r="AH23" s="86" t="n">
        <f aca="false">AG23*2</f>
        <v>49.1428571428571</v>
      </c>
      <c r="AI23" s="165" t="n">
        <v>2</v>
      </c>
      <c r="AJ23" s="120" t="n">
        <f aca="false">F23+G23+H23+I23+K23+L23+N23+O23+V23+W23+Y23+Z23+AA23+AB23+AC23</f>
        <v>170</v>
      </c>
      <c r="AK23" s="1" t="n">
        <v>7</v>
      </c>
      <c r="AL23" s="121" t="n">
        <f aca="false">AJ23/AK23</f>
        <v>24.2857142857143</v>
      </c>
      <c r="AM23" s="121" t="n">
        <f aca="false">AL23*2</f>
        <v>48.5714285714286</v>
      </c>
      <c r="AN23" s="1" t="n">
        <v>24</v>
      </c>
      <c r="AO23" s="1" t="n">
        <v>23</v>
      </c>
      <c r="AP23" s="1" t="n">
        <v>28</v>
      </c>
      <c r="AQ23" s="1" t="n">
        <v>23</v>
      </c>
      <c r="AR23" s="1" t="n">
        <v>24</v>
      </c>
      <c r="AS23" s="1" t="n">
        <v>18</v>
      </c>
      <c r="AT23" s="129" t="n">
        <v>2</v>
      </c>
      <c r="AU23" s="1" t="n">
        <f aca="false">SUM(AN23:AS23)</f>
        <v>140</v>
      </c>
      <c r="AV23" s="1" t="n">
        <v>6</v>
      </c>
      <c r="AW23" s="86" t="n">
        <f aca="false">AU23/AV23</f>
        <v>23.3333333333333</v>
      </c>
      <c r="AX23" s="86" t="n">
        <f aca="false">AW23*2</f>
        <v>46.6666666666667</v>
      </c>
      <c r="AY23" s="1" t="n">
        <v>26</v>
      </c>
      <c r="AZ23" s="1" t="n">
        <v>28</v>
      </c>
      <c r="BA23" s="1" t="n">
        <v>28</v>
      </c>
      <c r="BB23" s="1" t="n">
        <v>30</v>
      </c>
      <c r="BC23" s="1" t="n">
        <v>25</v>
      </c>
      <c r="BD23" s="1" t="n">
        <v>27</v>
      </c>
      <c r="BE23" s="1" t="n">
        <v>2</v>
      </c>
      <c r="BF23" s="122" t="n">
        <f aca="false">SUM(AY23:BD23)</f>
        <v>164</v>
      </c>
      <c r="BG23" s="1" t="n">
        <v>6</v>
      </c>
      <c r="BH23" s="123" t="n">
        <f aca="false">BF23/BG23</f>
        <v>27.3333333333333</v>
      </c>
      <c r="BI23" s="123" t="n">
        <f aca="false">BH23*2</f>
        <v>54.6666666666667</v>
      </c>
      <c r="BJ23" s="124" t="str">
        <f aca="false">IF(OR($D23="",$AW23="",$BH23=""),"",IFERROR(IF(VALUE($BH23)&gt;VALUE($AW23),"▲ "&amp;TEXT(VALUE($BH23)-VALUE($AW23),"0.00"),IF(VALUE($BH23)&lt;VALUE($AW23),"▼ "&amp;TEXT(VALUE($AW23)-VALUE($BH23),"0.00"),"● 0.00")),""))</f>
        <v>▲ 4.00</v>
      </c>
      <c r="BK23" s="1" t="n">
        <f aca="false">SUM(AN23:AQ23)/4</f>
        <v>24.5</v>
      </c>
      <c r="BL23" s="125" t="str">
        <f aca="false">IF(OR(BK23="",BH23="",NOT(ISNUMBER(BK23)),NOT(ISNUMBER(BH23))),"",IF(BH23&gt;BK23,"▲ "&amp;TEXT(ABS(BH23-BK23),"0.00"),IF(BH23&lt;BK23,"▼ "&amp;TEXT(ABS(BH23-BK23),"0.00"),"● 0.00")))</f>
        <v>▲ 2.83</v>
      </c>
      <c r="BM23" s="1" t="n">
        <v>21</v>
      </c>
      <c r="BN23" s="1" t="n">
        <v>24</v>
      </c>
      <c r="BO23" s="1" t="n">
        <v>24</v>
      </c>
      <c r="BT23" s="1" t="n">
        <v>2</v>
      </c>
      <c r="BU23" s="122" t="n">
        <f aca="false">SUM(BM23:BS23)</f>
        <v>69</v>
      </c>
      <c r="BV23" s="1" t="n">
        <v>3</v>
      </c>
      <c r="BW23" s="123" t="n">
        <f aca="false">BU23/BV23</f>
        <v>23</v>
      </c>
      <c r="BX23" s="123" t="n">
        <f aca="false">BW23*2</f>
        <v>46</v>
      </c>
    </row>
    <row r="24" customFormat="false" ht="15" hidden="true" customHeight="true" outlineLevel="0" collapsed="false">
      <c r="A24" s="161" t="s">
        <v>162</v>
      </c>
      <c r="B24" s="25" t="s">
        <v>188</v>
      </c>
      <c r="C24" s="55" t="s">
        <v>196</v>
      </c>
      <c r="D24" s="56" t="s">
        <v>198</v>
      </c>
      <c r="E24" s="25" t="s">
        <v>166</v>
      </c>
      <c r="F24" s="116"/>
      <c r="G24" s="116"/>
      <c r="H24" s="116"/>
      <c r="I24" s="116"/>
      <c r="J24" s="116"/>
      <c r="K24" s="116"/>
      <c r="L24" s="116"/>
      <c r="M24" s="116"/>
      <c r="N24" s="116"/>
      <c r="O24" s="116"/>
      <c r="P24" s="116"/>
      <c r="Q24" s="129" t="n">
        <v>4</v>
      </c>
      <c r="R24" s="1" t="n">
        <f aca="false">SUM(H24:O24)</f>
        <v>0</v>
      </c>
      <c r="S24" s="1" t="n">
        <v>6</v>
      </c>
      <c r="T24" s="86" t="n">
        <f aca="false">R24/S24</f>
        <v>0</v>
      </c>
      <c r="U24" s="86" t="n">
        <f aca="false">T24*2</f>
        <v>0</v>
      </c>
      <c r="V24" s="163" t="n">
        <v>40</v>
      </c>
      <c r="W24" s="163" t="n">
        <v>33</v>
      </c>
      <c r="X24" s="163" t="n">
        <v>4</v>
      </c>
      <c r="Y24" s="164" t="n">
        <v>51</v>
      </c>
      <c r="Z24" s="165" t="n">
        <v>51</v>
      </c>
      <c r="AA24" s="165" t="n">
        <v>41</v>
      </c>
      <c r="AB24" s="165" t="n">
        <v>24</v>
      </c>
      <c r="AC24" s="165" t="n">
        <v>9</v>
      </c>
      <c r="AD24" s="129" t="n">
        <v>4</v>
      </c>
      <c r="AE24" s="1" t="n">
        <f aca="false">SUM(V24:AC24)</f>
        <v>253</v>
      </c>
      <c r="AF24" s="1" t="n">
        <v>7</v>
      </c>
      <c r="AG24" s="86" t="n">
        <f aca="false">AE24/AF24</f>
        <v>36.1428571428571</v>
      </c>
      <c r="AH24" s="86" t="n">
        <f aca="false">AG24*2</f>
        <v>72.2857142857143</v>
      </c>
      <c r="AI24" s="165" t="n">
        <v>4</v>
      </c>
      <c r="AJ24" s="120" t="n">
        <f aca="false">F24+G24+H24+I24+K24+L24+N24+O24+V24+W24+Y24+Z24+AA24+AB24+AC24</f>
        <v>249</v>
      </c>
      <c r="AK24" s="1" t="n">
        <v>7</v>
      </c>
      <c r="AL24" s="121" t="n">
        <f aca="false">AJ24/AK24</f>
        <v>35.5714285714286</v>
      </c>
      <c r="AM24" s="121" t="n">
        <f aca="false">AL24*2</f>
        <v>71.1428571428571</v>
      </c>
      <c r="AN24" s="1" t="n">
        <v>42</v>
      </c>
      <c r="AO24" s="1" t="n">
        <v>42</v>
      </c>
      <c r="AP24" s="1" t="n">
        <v>38</v>
      </c>
      <c r="AQ24" s="1" t="n">
        <v>34</v>
      </c>
      <c r="AR24" s="1" t="n">
        <v>35</v>
      </c>
      <c r="AS24" s="1" t="n">
        <v>29</v>
      </c>
      <c r="AT24" s="129" t="n">
        <v>3</v>
      </c>
      <c r="AU24" s="1" t="n">
        <f aca="false">SUM(AN24:AS24)</f>
        <v>220</v>
      </c>
      <c r="AV24" s="1" t="n">
        <v>6</v>
      </c>
      <c r="AW24" s="86" t="n">
        <f aca="false">AU24/AV24</f>
        <v>36.6666666666667</v>
      </c>
      <c r="AX24" s="86" t="n">
        <f aca="false">AW24*2</f>
        <v>73.3333333333333</v>
      </c>
      <c r="AY24" s="1" t="n">
        <v>24</v>
      </c>
      <c r="AZ24" s="1" t="n">
        <v>48</v>
      </c>
      <c r="BA24" s="1" t="n">
        <v>47</v>
      </c>
      <c r="BB24" s="1" t="n">
        <v>46</v>
      </c>
      <c r="BC24" s="1" t="n">
        <v>50</v>
      </c>
      <c r="BD24" s="1" t="n">
        <v>49</v>
      </c>
      <c r="BE24" s="1" t="n">
        <v>5</v>
      </c>
      <c r="BF24" s="122" t="n">
        <f aca="false">SUM(AY24:BD24)</f>
        <v>264</v>
      </c>
      <c r="BG24" s="1" t="n">
        <v>6</v>
      </c>
      <c r="BH24" s="123" t="n">
        <f aca="false">BF24/BG24</f>
        <v>44</v>
      </c>
      <c r="BI24" s="123" t="n">
        <f aca="false">BH24*2</f>
        <v>88</v>
      </c>
      <c r="BJ24" s="124" t="str">
        <f aca="false">IF(OR($D24="",$AW24="",$BH24=""),"",IFERROR(IF(VALUE($BH24)&gt;VALUE($AW24),"▲ "&amp;TEXT(VALUE($BH24)-VALUE($AW24),"0.00"),IF(VALUE($BH24)&lt;VALUE($AW24),"▼ "&amp;TEXT(VALUE($AW24)-VALUE($BH24),"0.00"),"● 0.00")),""))</f>
        <v>▲ 7.33</v>
      </c>
      <c r="BK24" s="1" t="n">
        <f aca="false">SUM(AN24:AQ24)/4</f>
        <v>39</v>
      </c>
      <c r="BL24" s="125" t="str">
        <f aca="false">IF(OR(BK24="",BH24="",NOT(ISNUMBER(BK24)),NOT(ISNUMBER(BH24))),"",IF(BH24&gt;BK24,"▲ "&amp;TEXT(ABS(BH24-BK24),"0.00"),IF(BH24&lt;BK24,"▼ "&amp;TEXT(ABS(BH24-BK24),"0.00"),"● 0.00")))</f>
        <v>▲ 5.00</v>
      </c>
      <c r="BM24" s="1" t="n">
        <v>43</v>
      </c>
      <c r="BN24" s="1" t="n">
        <v>50</v>
      </c>
      <c r="BO24" s="1" t="n">
        <v>46</v>
      </c>
      <c r="BT24" s="1" t="n">
        <v>5</v>
      </c>
      <c r="BU24" s="122" t="n">
        <f aca="false">SUM(BM24:BS24)</f>
        <v>139</v>
      </c>
      <c r="BV24" s="1" t="n">
        <v>3</v>
      </c>
      <c r="BW24" s="123" t="n">
        <f aca="false">BU24/BV24</f>
        <v>46.3333333333333</v>
      </c>
      <c r="BX24" s="123" t="n">
        <f aca="false">BW24*2</f>
        <v>92.6666666666667</v>
      </c>
    </row>
    <row r="25" customFormat="false" ht="15" hidden="true" customHeight="true" outlineLevel="0" collapsed="false">
      <c r="A25" s="161" t="s">
        <v>162</v>
      </c>
      <c r="B25" s="25" t="s">
        <v>188</v>
      </c>
      <c r="C25" s="55" t="s">
        <v>196</v>
      </c>
      <c r="D25" s="56" t="s">
        <v>199</v>
      </c>
      <c r="E25" s="25" t="s">
        <v>166</v>
      </c>
      <c r="F25" s="116"/>
      <c r="G25" s="116"/>
      <c r="H25" s="116"/>
      <c r="I25" s="116"/>
      <c r="J25" s="116"/>
      <c r="K25" s="116"/>
      <c r="L25" s="116"/>
      <c r="M25" s="116"/>
      <c r="N25" s="116"/>
      <c r="O25" s="116"/>
      <c r="P25" s="116"/>
      <c r="Q25" s="129" t="n">
        <v>2</v>
      </c>
      <c r="R25" s="1" t="n">
        <f aca="false">SUM(H25:O25)</f>
        <v>0</v>
      </c>
      <c r="S25" s="1" t="n">
        <v>6</v>
      </c>
      <c r="T25" s="86" t="n">
        <f aca="false">R25/S25</f>
        <v>0</v>
      </c>
      <c r="U25" s="86" t="n">
        <f aca="false">T25*2</f>
        <v>0</v>
      </c>
      <c r="V25" s="163" t="n">
        <v>10</v>
      </c>
      <c r="W25" s="163" t="n">
        <v>13</v>
      </c>
      <c r="X25" s="163" t="n">
        <v>2</v>
      </c>
      <c r="Y25" s="164" t="n">
        <v>16</v>
      </c>
      <c r="Z25" s="165" t="n">
        <v>23</v>
      </c>
      <c r="AA25" s="165" t="n">
        <v>5</v>
      </c>
      <c r="AB25" s="165" t="n">
        <v>2</v>
      </c>
      <c r="AC25" s="165" t="n">
        <v>5</v>
      </c>
      <c r="AD25" s="129" t="n">
        <v>2</v>
      </c>
      <c r="AE25" s="1" t="n">
        <f aca="false">SUM(V25:AC25)</f>
        <v>76</v>
      </c>
      <c r="AF25" s="1" t="n">
        <v>7</v>
      </c>
      <c r="AG25" s="86" t="n">
        <f aca="false">AE25/AF25</f>
        <v>10.8571428571429</v>
      </c>
      <c r="AH25" s="86" t="n">
        <f aca="false">AG25*2</f>
        <v>21.7142857142857</v>
      </c>
      <c r="AI25" s="165" t="n">
        <v>2</v>
      </c>
      <c r="AJ25" s="120" t="n">
        <f aca="false">F25+G25+H25+I25+K25+L25+N25+O25+V25+W25+Y25+Z25+AA25+AB25+AC25</f>
        <v>74</v>
      </c>
      <c r="AK25" s="1" t="n">
        <v>7</v>
      </c>
      <c r="AL25" s="121" t="n">
        <f aca="false">AJ25/AK25</f>
        <v>10.5714285714286</v>
      </c>
      <c r="AM25" s="121" t="n">
        <f aca="false">AL25*2</f>
        <v>21.1428571428571</v>
      </c>
      <c r="AN25" s="1" t="s">
        <v>279</v>
      </c>
      <c r="AO25" s="1" t="s">
        <v>279</v>
      </c>
      <c r="AP25" s="1" t="s">
        <v>279</v>
      </c>
      <c r="AQ25" s="1" t="s">
        <v>279</v>
      </c>
      <c r="AR25" s="1" t="n">
        <v>17</v>
      </c>
      <c r="AS25" s="1" t="n">
        <v>13</v>
      </c>
      <c r="AT25" s="129" t="n">
        <v>2</v>
      </c>
      <c r="AU25" s="1" t="n">
        <f aca="false">SUM(AN25:AS25)</f>
        <v>30</v>
      </c>
      <c r="AV25" s="1" t="n">
        <v>6</v>
      </c>
      <c r="AW25" s="86" t="n">
        <f aca="false">AU25/AV25</f>
        <v>5</v>
      </c>
      <c r="AX25" s="86" t="n">
        <f aca="false">AW25*2</f>
        <v>10</v>
      </c>
      <c r="AY25" s="1" t="n">
        <v>10</v>
      </c>
      <c r="AZ25" s="145"/>
      <c r="BA25" s="145"/>
      <c r="BB25" s="145"/>
      <c r="BC25" s="145"/>
      <c r="BD25" s="145"/>
      <c r="BE25" s="145" t="n">
        <v>1</v>
      </c>
      <c r="BF25" s="146" t="n">
        <f aca="false">SUM(AY25:BD25)</f>
        <v>10</v>
      </c>
      <c r="BG25" s="145" t="n">
        <v>1</v>
      </c>
      <c r="BH25" s="147" t="n">
        <f aca="false">BF25/BG25</f>
        <v>10</v>
      </c>
      <c r="BI25" s="147" t="n">
        <f aca="false">BH25*2</f>
        <v>20</v>
      </c>
      <c r="BJ25" s="148" t="str">
        <f aca="false">IF(OR($D25="",$AW25="",$BH25=""),"",IFERROR(IF(VALUE($BH25)&gt;VALUE($AW25),"▲ "&amp;TEXT(VALUE($BH25)-VALUE($AW25),"0.00"),IF(VALUE($BH25)&lt;VALUE($AW25),"▼ "&amp;TEXT(VALUE($AW25)-VALUE($BH25),"0.00"),"● 0.00")),""))</f>
        <v>▲ 5.00</v>
      </c>
      <c r="BK25" s="145" t="n">
        <f aca="false">SUM(AN25:AQ25)/4</f>
        <v>0</v>
      </c>
      <c r="BL25" s="149" t="str">
        <f aca="false">IF(OR(BK25="",BH25="",NOT(ISNUMBER(BK25)),NOT(ISNUMBER(BH25))),"",IF(BH25&gt;BK25,"▲ "&amp;TEXT(ABS(BH25-BK25),"0.00"),IF(BH25&lt;BK25,"▼ "&amp;TEXT(ABS(BH25-BK25),"0.00"),"● 0.00")))</f>
        <v>▲ 10.00</v>
      </c>
      <c r="BM25" s="145"/>
      <c r="BN25" s="145"/>
      <c r="BO25" s="145"/>
      <c r="BP25" s="145"/>
      <c r="BQ25" s="145"/>
      <c r="BR25" s="145"/>
      <c r="BS25" s="145"/>
      <c r="BT25" s="145"/>
      <c r="BU25" s="146"/>
      <c r="BV25" s="145"/>
      <c r="BW25" s="147"/>
      <c r="BX25" s="147"/>
    </row>
    <row r="26" customFormat="false" ht="15" hidden="true" customHeight="true" outlineLevel="0" collapsed="false">
      <c r="A26" s="115" t="s">
        <v>162</v>
      </c>
      <c r="B26" s="25" t="s">
        <v>181</v>
      </c>
      <c r="C26" s="48" t="s">
        <v>182</v>
      </c>
      <c r="D26" s="49" t="s">
        <v>203</v>
      </c>
      <c r="E26" s="25" t="s">
        <v>166</v>
      </c>
      <c r="F26" s="116"/>
      <c r="G26" s="116"/>
      <c r="H26" s="116"/>
      <c r="I26" s="116"/>
      <c r="J26" s="116"/>
      <c r="K26" s="116"/>
      <c r="L26" s="116"/>
      <c r="M26" s="116"/>
      <c r="N26" s="116"/>
      <c r="O26" s="116"/>
      <c r="P26" s="116"/>
      <c r="V26" s="163"/>
      <c r="W26" s="163"/>
      <c r="X26" s="163"/>
      <c r="Y26" s="164"/>
      <c r="Z26" s="165"/>
      <c r="AA26" s="165"/>
      <c r="AB26" s="165"/>
      <c r="AC26" s="165"/>
      <c r="AI26" s="165"/>
      <c r="AJ26" s="120"/>
      <c r="AL26" s="121"/>
      <c r="AM26" s="121"/>
      <c r="AU26" s="1" t="n">
        <f aca="false">SUM(AN26:AS26)</f>
        <v>0</v>
      </c>
      <c r="AV26" s="1" t="n">
        <v>6</v>
      </c>
      <c r="AW26" s="86" t="n">
        <f aca="false">AU26/AV26</f>
        <v>0</v>
      </c>
      <c r="AX26" s="86" t="n">
        <f aca="false">AW26*2</f>
        <v>0</v>
      </c>
      <c r="AY26" s="1" t="n">
        <v>10</v>
      </c>
      <c r="AZ26" s="1" t="n">
        <v>27</v>
      </c>
      <c r="BA26" s="1" t="n">
        <v>8</v>
      </c>
      <c r="BB26" s="1" t="n">
        <v>17</v>
      </c>
      <c r="BC26" s="1" t="n">
        <v>15</v>
      </c>
      <c r="BD26" s="1" t="n">
        <v>7</v>
      </c>
      <c r="BE26" s="1" t="n">
        <v>2</v>
      </c>
      <c r="BF26" s="122" t="n">
        <f aca="false">SUM(AY26:BD26)</f>
        <v>84</v>
      </c>
      <c r="BG26" s="1" t="n">
        <v>6</v>
      </c>
      <c r="BH26" s="123" t="n">
        <f aca="false">BF26/BG26</f>
        <v>14</v>
      </c>
      <c r="BI26" s="123" t="n">
        <f aca="false">BH26*2</f>
        <v>28</v>
      </c>
      <c r="BJ26" s="124" t="str">
        <f aca="false">IF(OR($D26="",$AW26="",$BH26=""),"",IFERROR(IF(VALUE($BH26)&gt;VALUE($AW26),"▲ "&amp;TEXT(VALUE($BH26)-VALUE($AW26),"0.00"),IF(VALUE($BH26)&lt;VALUE($AW26),"▼ "&amp;TEXT(VALUE($AW26)-VALUE($BH26),"0.00"),"● 0.00")),""))</f>
        <v>▲ 14.00</v>
      </c>
      <c r="BK26" s="1" t="n">
        <f aca="false">SUM(AN26:AQ26)/4</f>
        <v>0</v>
      </c>
      <c r="BL26" s="125" t="str">
        <f aca="false">IF(OR(BK26="",BH26="",NOT(ISNUMBER(BK26)),NOT(ISNUMBER(BH26))),"",IF(BH26&gt;BK26,"▲ "&amp;TEXT(ABS(BH26-BK26),"0.00"),IF(BH26&lt;BK26,"▼ "&amp;TEXT(ABS(BH26-BK26),"0.00"),"● 0.00")))</f>
        <v>▲ 14.00</v>
      </c>
      <c r="BM26" s="1" t="n">
        <v>14</v>
      </c>
      <c r="BT26" s="1" t="n">
        <v>2</v>
      </c>
      <c r="BU26" s="122" t="n">
        <f aca="false">SUM(BM26:BS26)</f>
        <v>14</v>
      </c>
      <c r="BV26" s="1" t="n">
        <v>1</v>
      </c>
      <c r="BW26" s="123" t="n">
        <f aca="false">BU26/BV26</f>
        <v>14</v>
      </c>
      <c r="BX26" s="123" t="n">
        <f aca="false">BW26*2</f>
        <v>28</v>
      </c>
    </row>
    <row r="27" customFormat="false" ht="15" hidden="true" customHeight="true" outlineLevel="0" collapsed="false">
      <c r="A27" s="161" t="s">
        <v>162</v>
      </c>
      <c r="B27" s="65"/>
      <c r="C27" s="25"/>
      <c r="D27" s="56"/>
      <c r="E27" s="65"/>
      <c r="F27" s="116"/>
      <c r="G27" s="116"/>
      <c r="H27" s="116"/>
      <c r="I27" s="116"/>
      <c r="J27" s="116"/>
      <c r="K27" s="116"/>
      <c r="L27" s="116"/>
      <c r="M27" s="116"/>
      <c r="N27" s="116"/>
      <c r="O27" s="116"/>
      <c r="P27" s="116"/>
      <c r="V27" s="163"/>
      <c r="W27" s="163"/>
      <c r="X27" s="163"/>
      <c r="Y27" s="164"/>
      <c r="Z27" s="165"/>
      <c r="AA27" s="165"/>
      <c r="AB27" s="165"/>
      <c r="AC27" s="165"/>
      <c r="AI27" s="165"/>
      <c r="AJ27" s="120"/>
      <c r="AL27" s="121"/>
      <c r="AM27" s="121"/>
      <c r="AU27" s="1" t="n">
        <f aca="false">SUM(AN27:AS27)</f>
        <v>0</v>
      </c>
      <c r="AV27" s="1" t="n">
        <v>6</v>
      </c>
      <c r="AW27" s="86" t="n">
        <f aca="false">AU27/AV27</f>
        <v>0</v>
      </c>
      <c r="AX27" s="86" t="n">
        <f aca="false">AW27*2</f>
        <v>0</v>
      </c>
      <c r="BJ27" s="124" t="str">
        <f aca="false">IF(OR($D27="",$AW27="",$BH27=""),"",IFERROR(IF(VALUE($BH27)&gt;VALUE($AW27),"▲ "&amp;TEXT(VALUE($BH27)-VALUE($AW27),"0.00"),IF(VALUE($BH27)&lt;VALUE($AW27),"▼ "&amp;TEXT(VALUE($AW27)-VALUE($BH27),"0.00"),"● 0.00")),""))</f>
        <v/>
      </c>
      <c r="BL27" s="125" t="str">
        <f aca="false">IF(OR(BK27="",BH27="",NOT(ISNUMBER(BK27)),NOT(ISNUMBER(BH27))),"",IF(BH27&gt;BK27,"▲ "&amp;TEXT(ABS(BH27-BK27),"0.00"),IF(BH27&lt;BK27,"▼ "&amp;TEXT(ABS(BH27-BK27),"0.00"),"● 0.00")))</f>
        <v/>
      </c>
    </row>
    <row r="28" customFormat="false" ht="15" hidden="true" customHeight="true" outlineLevel="0" collapsed="false">
      <c r="A28" s="161" t="s">
        <v>162</v>
      </c>
      <c r="B28" s="65"/>
      <c r="C28" s="25"/>
      <c r="D28" s="56"/>
      <c r="E28" s="65"/>
      <c r="F28" s="116"/>
      <c r="G28" s="116"/>
      <c r="H28" s="116"/>
      <c r="I28" s="116"/>
      <c r="J28" s="116"/>
      <c r="K28" s="116"/>
      <c r="L28" s="116"/>
      <c r="M28" s="116"/>
      <c r="N28" s="116"/>
      <c r="O28" s="116"/>
      <c r="P28" s="116"/>
      <c r="V28" s="163"/>
      <c r="W28" s="163"/>
      <c r="X28" s="163"/>
      <c r="Y28" s="164"/>
      <c r="Z28" s="165"/>
      <c r="AA28" s="165"/>
      <c r="AB28" s="165"/>
      <c r="AC28" s="165"/>
      <c r="AI28" s="165"/>
      <c r="AJ28" s="120"/>
      <c r="AL28" s="121"/>
      <c r="AM28" s="121"/>
      <c r="AU28" s="1" t="n">
        <f aca="false">SUM(AN28:AS28)</f>
        <v>0</v>
      </c>
      <c r="AV28" s="1" t="n">
        <v>6</v>
      </c>
      <c r="AW28" s="86" t="n">
        <f aca="false">AU28/AV28</f>
        <v>0</v>
      </c>
      <c r="AX28" s="86" t="n">
        <f aca="false">AW28*2</f>
        <v>0</v>
      </c>
      <c r="BJ28" s="124" t="str">
        <f aca="false">IF(OR($D28="",$AW28="",$BH28=""),"",IFERROR(IF(VALUE($BH28)&gt;VALUE($AW28),"▲ "&amp;TEXT(VALUE($BH28)-VALUE($AW28),"0.00"),IF(VALUE($BH28)&lt;VALUE($AW28),"▼ "&amp;TEXT(VALUE($AW28)-VALUE($BH28),"0.00"),"● 0.00")),""))</f>
        <v/>
      </c>
      <c r="BL28" s="125" t="str">
        <f aca="false">IF(OR(BK28="",BH28="",NOT(ISNUMBER(BK28)),NOT(ISNUMBER(BH28))),"",IF(BH28&gt;BK28,"▲ "&amp;TEXT(ABS(BH28-BK28),"0.00"),IF(BH28&lt;BK28,"▼ "&amp;TEXT(ABS(BH28-BK28),"0.00"),"● 0.00")))</f>
        <v/>
      </c>
    </row>
    <row r="29" customFormat="false" ht="15" hidden="true" customHeight="true" outlineLevel="0" collapsed="false">
      <c r="A29" s="161" t="s">
        <v>162</v>
      </c>
      <c r="B29" s="65"/>
      <c r="C29" s="65"/>
      <c r="D29" s="56"/>
      <c r="E29" s="65"/>
      <c r="F29" s="116"/>
      <c r="G29" s="116"/>
      <c r="H29" s="116"/>
      <c r="I29" s="116"/>
      <c r="J29" s="116"/>
      <c r="K29" s="116"/>
      <c r="L29" s="116"/>
      <c r="M29" s="116"/>
      <c r="N29" s="116"/>
      <c r="O29" s="116"/>
      <c r="P29" s="116"/>
      <c r="V29" s="163"/>
      <c r="W29" s="163"/>
      <c r="X29" s="163"/>
      <c r="Y29" s="164"/>
      <c r="Z29" s="165"/>
      <c r="AA29" s="165"/>
      <c r="AB29" s="165"/>
      <c r="AC29" s="165"/>
      <c r="AI29" s="165"/>
      <c r="AJ29" s="120"/>
      <c r="AL29" s="121"/>
      <c r="AM29" s="121"/>
      <c r="AU29" s="1" t="n">
        <f aca="false">SUM(AN29:AS29)</f>
        <v>0</v>
      </c>
      <c r="AV29" s="1" t="n">
        <v>6</v>
      </c>
      <c r="AW29" s="86" t="n">
        <f aca="false">AU29/AV29</f>
        <v>0</v>
      </c>
      <c r="AX29" s="86" t="n">
        <f aca="false">AW29*2</f>
        <v>0</v>
      </c>
      <c r="BJ29" s="124" t="str">
        <f aca="false">IF(OR($D29="",$AW29="",$BH29=""),"",IFERROR(IF(VALUE($BH29)&gt;VALUE($AW29),"▲ "&amp;TEXT(VALUE($BH29)-VALUE($AW29),"0.00"),IF(VALUE($BH29)&lt;VALUE($AW29),"▼ "&amp;TEXT(VALUE($AW29)-VALUE($BH29),"0.00"),"● 0.00")),""))</f>
        <v/>
      </c>
      <c r="BL29" s="125" t="str">
        <f aca="false">IF(OR(BK29="",BH29="",NOT(ISNUMBER(BK29)),NOT(ISNUMBER(BH29))),"",IF(BH29&gt;BK29,"▲ "&amp;TEXT(ABS(BH29-BK29),"0.00"),IF(BH29&lt;BK29,"▼ "&amp;TEXT(ABS(BH29-BK29),"0.00"),"● 0.00")))</f>
        <v/>
      </c>
    </row>
    <row r="30" customFormat="false" ht="15" hidden="true" customHeight="true" outlineLevel="0" collapsed="false">
      <c r="A30" s="161" t="s">
        <v>162</v>
      </c>
      <c r="B30" s="65"/>
      <c r="C30" s="65"/>
      <c r="D30" s="56"/>
      <c r="E30" s="65"/>
      <c r="F30" s="116"/>
      <c r="G30" s="116"/>
      <c r="H30" s="116"/>
      <c r="I30" s="116"/>
      <c r="J30" s="116"/>
      <c r="K30" s="116"/>
      <c r="L30" s="116"/>
      <c r="M30" s="116"/>
      <c r="N30" s="116"/>
      <c r="O30" s="116"/>
      <c r="P30" s="116"/>
      <c r="V30" s="163"/>
      <c r="W30" s="163"/>
      <c r="X30" s="163"/>
      <c r="Y30" s="164"/>
      <c r="Z30" s="165"/>
      <c r="AA30" s="165"/>
      <c r="AB30" s="165"/>
      <c r="AC30" s="165"/>
      <c r="AI30" s="165"/>
      <c r="AJ30" s="120"/>
      <c r="AL30" s="121"/>
      <c r="AM30" s="121"/>
      <c r="AU30" s="1" t="n">
        <f aca="false">SUM(AN30:AS30)</f>
        <v>0</v>
      </c>
      <c r="AV30" s="1" t="n">
        <v>6</v>
      </c>
      <c r="AW30" s="86" t="n">
        <f aca="false">AU30/AV30</f>
        <v>0</v>
      </c>
      <c r="AX30" s="86" t="n">
        <f aca="false">AW30*2</f>
        <v>0</v>
      </c>
      <c r="BJ30" s="124" t="str">
        <f aca="false">IF(OR($D30="",$AW30="",$BH30=""),"",IFERROR(IF(VALUE($BH30)&gt;VALUE($AW30),"▲ "&amp;TEXT(VALUE($BH30)-VALUE($AW30),"0.00"),IF(VALUE($BH30)&lt;VALUE($AW30),"▼ "&amp;TEXT(VALUE($AW30)-VALUE($BH30),"0.00"),"● 0.00")),""))</f>
        <v/>
      </c>
      <c r="BL30" s="125" t="str">
        <f aca="false">IF(OR(BK30="",BH30="",NOT(ISNUMBER(BK30)),NOT(ISNUMBER(BH30))),"",IF(BH30&gt;BK30,"▲ "&amp;TEXT(ABS(BH30-BK30),"0.00"),IF(BH30&lt;BK30,"▼ "&amp;TEXT(ABS(BH30-BK30),"0.00"),"● 0.00")))</f>
        <v/>
      </c>
    </row>
    <row r="31" customFormat="false" ht="15" hidden="true" customHeight="true" outlineLevel="0" collapsed="false">
      <c r="AU31" s="1" t="n">
        <f aca="false">SUM(AN31:AS31)</f>
        <v>0</v>
      </c>
      <c r="AV31" s="1" t="n">
        <v>6</v>
      </c>
      <c r="AW31" s="86" t="n">
        <f aca="false">AU31/AV31</f>
        <v>0</v>
      </c>
      <c r="AX31" s="86" t="n">
        <f aca="false">AW31*2</f>
        <v>0</v>
      </c>
      <c r="BJ31" s="124" t="str">
        <f aca="false">IF(OR($D31="",$AW31="",$BH31=""),"",IFERROR(IF(VALUE($BH31)&gt;VALUE($AW31),"▲ "&amp;TEXT(VALUE($BH31)-VALUE($AW31),"0.00"),IF(VALUE($BH31)&lt;VALUE($AW31),"▼ "&amp;TEXT(VALUE($AW31)-VALUE($BH31),"0.00"),"● 0.00")),""))</f>
        <v/>
      </c>
      <c r="BL31" s="125" t="str">
        <f aca="false">IF(OR(BK31="",BH31="",NOT(ISNUMBER(BK31)),NOT(ISNUMBER(BH31))),"",IF(BH31&gt;BK31,"▲ "&amp;TEXT(ABS(BH31-BK31),"0.00"),IF(BH31&lt;BK31,"▼ "&amp;TEXT(ABS(BH31-BK31),"0.00"),"● 0.00")))</f>
        <v/>
      </c>
    </row>
    <row r="32" customFormat="false" ht="15" hidden="true" customHeight="true" outlineLevel="0" collapsed="false">
      <c r="BJ32" s="124" t="str">
        <f aca="false">IF(OR($D32="",$AW32="",$BH32=""),"",IFERROR(IF(VALUE($BH32)&gt;VALUE($AW32),"▲ "&amp;TEXT(VALUE($BH32)-VALUE($AW32),"0.00"),IF(VALUE($BH32)&lt;VALUE($AW32),"▼ "&amp;TEXT(VALUE($AW32)-VALUE($BH32),"0.00"),"● 0.00")),""))</f>
        <v/>
      </c>
      <c r="BL32" s="125" t="str">
        <f aca="false">IF(OR(BK32="",BH32="",NOT(ISNUMBER(BK32)),NOT(ISNUMBER(BH32))),"",IF(BH32&gt;BK32,"▲ "&amp;TEXT(ABS(BH32-BK32),"0.00"),IF(BH32&lt;BK32,"▼ "&amp;TEXT(ABS(BH32-BK32),"0.00"),"● 0.00")))</f>
        <v/>
      </c>
    </row>
    <row r="33" customFormat="false" ht="15" hidden="true" customHeight="true" outlineLevel="0" collapsed="false">
      <c r="AU33" s="121"/>
      <c r="BJ33" s="124" t="str">
        <f aca="false">IF(OR($D33="",$AW33="",$BH33=""),"",IFERROR(IF(VALUE($BH33)&gt;VALUE($AW33),"▲ "&amp;TEXT(VALUE($BH33)-VALUE($AW33),"0.00"),IF(VALUE($BH33)&lt;VALUE($AW33),"▼ "&amp;TEXT(VALUE($AW33)-VALUE($BH33),"0.00"),"● 0.00")),""))</f>
        <v/>
      </c>
      <c r="BL33" s="125" t="str">
        <f aca="false">IF(OR(BK33="",BH33="",NOT(ISNUMBER(BK33)),NOT(ISNUMBER(BH33))),"",IF(BH33&gt;BK33,"▲ "&amp;TEXT(ABS(BH33-BK33),"0.00"),IF(BH33&lt;BK33,"▼ "&amp;TEXT(ABS(BH33-BK33),"0.00"),"● 0.00")))</f>
        <v/>
      </c>
    </row>
    <row r="36" customFormat="false" ht="15" hidden="false" customHeight="true" outlineLevel="0" collapsed="false">
      <c r="BW36" s="123"/>
    </row>
    <row r="37" customFormat="false" ht="15" hidden="false" customHeight="true" outlineLevel="0" collapsed="false">
      <c r="BW37" s="123"/>
    </row>
  </sheetData>
  <autoFilter ref="A1:BI33">
    <filterColumn colId="3">
      <filters>
        <filter val="Celestial (Titan)"/>
        <filter val="Celestial (Universal)"/>
      </filters>
    </filterColumn>
  </autoFilter>
  <conditionalFormatting sqref="BJ2:BJ33">
    <cfRule type="expression" priority="2" aboveAverage="0" equalAverage="0" bottom="0" percent="0" rank="0" text="" dxfId="19">
      <formula>LEFT($BJ2,1)="▲"</formula>
    </cfRule>
    <cfRule type="expression" priority="3" aboveAverage="0" equalAverage="0" bottom="0" percent="0" rank="0" text="" dxfId="20">
      <formula>LEFT($BJ2,1)="▼"</formula>
    </cfRule>
    <cfRule type="expression" priority="4" aboveAverage="0" equalAverage="0" bottom="0" percent="0" rank="0" text="" dxfId="21">
      <formula>LEFT($BJ2,1)="●"</formula>
    </cfRule>
  </conditionalFormatting>
  <conditionalFormatting sqref="BL2:BL33">
    <cfRule type="expression" priority="5" aboveAverage="0" equalAverage="0" bottom="0" percent="0" rank="0" text="" dxfId="19">
      <formula>LEFT(BL2,1)="▲"</formula>
    </cfRule>
    <cfRule type="expression" priority="6" aboveAverage="0" equalAverage="0" bottom="0" percent="0" rank="0" text="" dxfId="20">
      <formula>LEFT(BL2,1)="▼"</formula>
    </cfRule>
    <cfRule type="expression" priority="7" aboveAverage="0" equalAverage="0" bottom="0" percent="0" rank="0" text="" dxfId="22">
      <formula>LEFT(BL2,1)="●"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5390625" defaultRowHeight="14.25" zeroHeight="false" outlineLevelRow="0" outlineLevelCol="0"/>
  <cols>
    <col collapsed="false" customWidth="true" hidden="false" outlineLevel="0" max="1" min="1" style="1" width="17.36"/>
    <col collapsed="false" customWidth="true" hidden="false" outlineLevel="0" max="2" min="2" style="1" width="24"/>
    <col collapsed="false" customWidth="true" hidden="false" outlineLevel="0" max="3" min="3" style="1" width="22.45"/>
    <col collapsed="false" customWidth="true" hidden="false" outlineLevel="0" max="4" min="4" style="1" width="23"/>
    <col collapsed="false" customWidth="true" hidden="false" outlineLevel="0" max="5" min="5" style="1" width="24"/>
    <col collapsed="false" customWidth="true" hidden="false" outlineLevel="0" max="6" min="6" style="1" width="23.37"/>
  </cols>
  <sheetData>
    <row r="1" customFormat="false" ht="14.25" hidden="false" customHeight="true" outlineLevel="0" collapsed="false">
      <c r="A1" s="1" t="s">
        <v>123</v>
      </c>
      <c r="B1" s="73" t="s">
        <v>205</v>
      </c>
    </row>
    <row r="2" customFormat="false" ht="14.25" hidden="false" customHeight="true" outlineLevel="0" collapsed="false">
      <c r="A2" s="1" t="s">
        <v>126</v>
      </c>
      <c r="B2" s="73" t="s">
        <v>166</v>
      </c>
    </row>
    <row r="4" customFormat="false" ht="14.25" hidden="false" customHeight="true" outlineLevel="0" collapsed="false">
      <c r="A4" s="75" t="s">
        <v>208</v>
      </c>
      <c r="B4" s="76" t="s">
        <v>280</v>
      </c>
      <c r="C4" s="77" t="s">
        <v>281</v>
      </c>
      <c r="D4" s="77" t="s">
        <v>282</v>
      </c>
      <c r="E4" s="78" t="s">
        <v>283</v>
      </c>
    </row>
    <row r="5" customFormat="false" ht="14.25" hidden="false" customHeight="true" outlineLevel="0" collapsed="false">
      <c r="A5" s="166" t="s">
        <v>196</v>
      </c>
      <c r="B5" s="27" t="n">
        <v>71.5714285714286</v>
      </c>
      <c r="C5" s="167" t="n">
        <v>65</v>
      </c>
      <c r="D5" s="168" t="n">
        <v>81.3333333333333</v>
      </c>
      <c r="E5" s="169" t="n">
        <v>69.3333333333333</v>
      </c>
    </row>
    <row r="6" customFormat="false" ht="14.25" hidden="false" customHeight="true" outlineLevel="0" collapsed="false">
      <c r="A6" s="166" t="s">
        <v>164</v>
      </c>
      <c r="B6" s="27" t="n">
        <v>249.809523809524</v>
      </c>
      <c r="C6" s="167" t="n">
        <v>279</v>
      </c>
      <c r="D6" s="168" t="n">
        <v>271.583333333333</v>
      </c>
      <c r="E6" s="169" t="n">
        <v>260.166666666667</v>
      </c>
    </row>
    <row r="7" customFormat="false" ht="14.25" hidden="false" customHeight="true" outlineLevel="0" collapsed="false">
      <c r="A7" s="166" t="s">
        <v>193</v>
      </c>
      <c r="B7" s="27" t="n">
        <v>44.7142857142857</v>
      </c>
      <c r="C7" s="167" t="n">
        <v>57.1666666666667</v>
      </c>
      <c r="D7" s="168" t="n">
        <v>61.1666666666667</v>
      </c>
      <c r="E7" s="169" t="n">
        <v>82.5</v>
      </c>
    </row>
    <row r="8" customFormat="false" ht="14.25" hidden="false" customHeight="true" outlineLevel="0" collapsed="false">
      <c r="A8" s="166" t="s">
        <v>182</v>
      </c>
      <c r="B8" s="27" t="n">
        <v>180.971428571429</v>
      </c>
      <c r="C8" s="167" t="n">
        <v>132.416666666667</v>
      </c>
      <c r="D8" s="168" t="n">
        <v>111.583333333333</v>
      </c>
      <c r="E8" s="169" t="n">
        <v>110.666666666667</v>
      </c>
    </row>
    <row r="9" customFormat="false" ht="14.25" hidden="false" customHeight="true" outlineLevel="0" collapsed="false">
      <c r="A9" s="166" t="s">
        <v>168</v>
      </c>
      <c r="B9" s="27" t="n">
        <v>170.285714285714</v>
      </c>
      <c r="C9" s="167" t="n">
        <v>180.666666666667</v>
      </c>
      <c r="D9" s="168" t="n">
        <v>201.333333333333</v>
      </c>
      <c r="E9" s="169" t="n">
        <v>209.666666666667</v>
      </c>
    </row>
    <row r="10" customFormat="false" ht="14.25" hidden="false" customHeight="true" outlineLevel="0" collapsed="false">
      <c r="A10" s="166" t="s">
        <v>189</v>
      </c>
      <c r="B10" s="27" t="n">
        <v>175.571428571429</v>
      </c>
      <c r="C10" s="167" t="n">
        <v>188</v>
      </c>
      <c r="D10" s="168" t="n">
        <v>180.016666666667</v>
      </c>
      <c r="E10" s="169" t="n">
        <v>179.666666666667</v>
      </c>
    </row>
    <row r="11" customFormat="false" ht="14.25" hidden="false" customHeight="true" outlineLevel="0" collapsed="false">
      <c r="A11" s="98" t="s">
        <v>214</v>
      </c>
      <c r="B11" s="99" t="n">
        <v>892.923809523809</v>
      </c>
      <c r="C11" s="100" t="n">
        <v>902.25</v>
      </c>
      <c r="D11" s="170" t="n">
        <v>907.016666666667</v>
      </c>
      <c r="E11" s="171" t="n">
        <v>912</v>
      </c>
    </row>
    <row r="12"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2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6" ySplit="1" topLeftCell="AM19" activePane="bottomRight" state="frozen"/>
      <selection pane="topLeft" activeCell="A1" activeCellId="0" sqref="A1"/>
      <selection pane="topRight" activeCell="AM1" activeCellId="0" sqref="AM1"/>
      <selection pane="bottomLeft" activeCell="A19" activeCellId="0" sqref="A19"/>
      <selection pane="bottomRight" activeCell="AT1" activeCellId="0" sqref="AT1"/>
    </sheetView>
  </sheetViews>
  <sheetFormatPr defaultColWidth="8.5390625" defaultRowHeight="14.25" zeroHeight="false" outlineLevelRow="0" outlineLevelCol="0"/>
  <cols>
    <col collapsed="false" customWidth="true" hidden="false" outlineLevel="0" max="6" min="6" style="1" width="14.09"/>
    <col collapsed="false" customWidth="true" hidden="false" outlineLevel="0" max="22" min="22" style="12" width="8.73"/>
    <col collapsed="false" customWidth="true" hidden="false" outlineLevel="0" max="23" min="23" style="12" width="12.18"/>
    <col collapsed="false" customWidth="true" hidden="false" outlineLevel="0" max="31" min="24" style="1" width="11.54"/>
    <col collapsed="false" customWidth="true" hidden="false" outlineLevel="0" max="37" min="32" style="1" width="11.73"/>
    <col collapsed="false" customWidth="true" hidden="false" outlineLevel="0" max="38" min="38" style="1" width="11.54"/>
    <col collapsed="false" customWidth="true" hidden="false" outlineLevel="0" max="45" min="39" style="1" width="11.73"/>
    <col collapsed="false" customWidth="true" hidden="false" outlineLevel="0" max="46" min="46" style="1" width="11.54"/>
  </cols>
  <sheetData>
    <row r="1" customFormat="false" ht="168" hidden="false" customHeight="true" outlineLevel="0" collapsed="false">
      <c r="A1" s="13" t="s">
        <v>121</v>
      </c>
      <c r="B1" s="13" t="s">
        <v>122</v>
      </c>
      <c r="C1" s="13" t="s">
        <v>123</v>
      </c>
      <c r="D1" s="14" t="s">
        <v>124</v>
      </c>
      <c r="E1" s="14" t="s">
        <v>126</v>
      </c>
      <c r="F1" s="13" t="s">
        <v>125</v>
      </c>
      <c r="G1" s="172" t="s">
        <v>284</v>
      </c>
      <c r="H1" s="172" t="s">
        <v>285</v>
      </c>
      <c r="I1" s="172" t="s">
        <v>286</v>
      </c>
      <c r="J1" s="172" t="s">
        <v>287</v>
      </c>
      <c r="K1" s="172" t="s">
        <v>288</v>
      </c>
      <c r="L1" s="172" t="s">
        <v>289</v>
      </c>
      <c r="M1" s="172" t="s">
        <v>290</v>
      </c>
      <c r="N1" s="172" t="s">
        <v>291</v>
      </c>
      <c r="O1" s="172" t="s">
        <v>292</v>
      </c>
      <c r="P1" s="172" t="s">
        <v>293</v>
      </c>
      <c r="Q1" s="172" t="s">
        <v>294</v>
      </c>
      <c r="R1" s="172" t="s">
        <v>295</v>
      </c>
      <c r="S1" s="172" t="s">
        <v>296</v>
      </c>
      <c r="T1" s="172" t="s">
        <v>297</v>
      </c>
      <c r="U1" s="172" t="s">
        <v>298</v>
      </c>
      <c r="V1" s="173" t="s">
        <v>299</v>
      </c>
      <c r="W1" s="173" t="s">
        <v>300</v>
      </c>
      <c r="X1" s="173" t="s">
        <v>301</v>
      </c>
      <c r="Y1" s="172" t="s">
        <v>302</v>
      </c>
      <c r="Z1" s="172" t="s">
        <v>303</v>
      </c>
      <c r="AA1" s="172" t="s">
        <v>304</v>
      </c>
      <c r="AB1" s="172" t="s">
        <v>305</v>
      </c>
      <c r="AC1" s="172" t="s">
        <v>306</v>
      </c>
      <c r="AD1" s="172" t="s">
        <v>307</v>
      </c>
      <c r="AE1" s="173" t="s">
        <v>308</v>
      </c>
      <c r="AF1" s="172" t="s">
        <v>309</v>
      </c>
      <c r="AG1" s="172" t="s">
        <v>310</v>
      </c>
      <c r="AH1" s="172" t="s">
        <v>311</v>
      </c>
      <c r="AI1" s="172" t="s">
        <v>312</v>
      </c>
      <c r="AJ1" s="172" t="s">
        <v>313</v>
      </c>
      <c r="AK1" s="172" t="s">
        <v>314</v>
      </c>
      <c r="AL1" s="173" t="s">
        <v>315</v>
      </c>
      <c r="AM1" s="172" t="s">
        <v>316</v>
      </c>
      <c r="AN1" s="172" t="s">
        <v>286</v>
      </c>
      <c r="AO1" s="172" t="s">
        <v>317</v>
      </c>
      <c r="AP1" s="172" t="s">
        <v>288</v>
      </c>
      <c r="AQ1" s="172" t="s">
        <v>318</v>
      </c>
      <c r="AR1" s="172" t="s">
        <v>319</v>
      </c>
      <c r="AS1" s="172" t="s">
        <v>320</v>
      </c>
      <c r="AT1" s="173" t="s">
        <v>321</v>
      </c>
    </row>
    <row r="2" customFormat="false" ht="21.75" hidden="false" customHeight="true" outlineLevel="0" collapsed="false">
      <c r="A2" s="30" t="n">
        <v>1</v>
      </c>
      <c r="B2" s="30" t="s">
        <v>162</v>
      </c>
      <c r="C2" s="47" t="s">
        <v>163</v>
      </c>
      <c r="D2" s="174" t="s">
        <v>164</v>
      </c>
      <c r="E2" s="25" t="s">
        <v>166</v>
      </c>
      <c r="F2" s="24" t="s">
        <v>165</v>
      </c>
      <c r="G2" s="175"/>
      <c r="H2" s="175"/>
      <c r="I2" s="175"/>
      <c r="J2" s="175"/>
      <c r="K2" s="175"/>
      <c r="L2" s="175"/>
      <c r="M2" s="175"/>
      <c r="N2" s="175"/>
      <c r="O2" s="175"/>
      <c r="P2" s="175"/>
      <c r="Q2" s="175"/>
      <c r="R2" s="175"/>
      <c r="S2" s="176" t="n">
        <v>4.67</v>
      </c>
      <c r="T2" s="176" t="n">
        <v>1.69</v>
      </c>
      <c r="U2" s="176" t="n">
        <v>0.89</v>
      </c>
      <c r="V2" s="177" t="n">
        <f aca="false">IFERROR(AVERAGE(G2:U2),0)</f>
        <v>2.41666666666667</v>
      </c>
      <c r="W2" s="177"/>
      <c r="X2" s="176" t="n">
        <f aca="false">IFERROR(AVERAGE(O2:U2),0)</f>
        <v>2.41666666666667</v>
      </c>
      <c r="Y2" s="176" t="n">
        <v>0.39</v>
      </c>
      <c r="Z2" s="176" t="n">
        <v>1.04</v>
      </c>
      <c r="AA2" s="176" t="n">
        <v>1.32</v>
      </c>
      <c r="AB2" s="176" t="n">
        <v>0.67</v>
      </c>
      <c r="AC2" s="176" t="n">
        <v>0.28</v>
      </c>
      <c r="AD2" s="176" t="n">
        <v>4.66666666666667</v>
      </c>
      <c r="AE2" s="176" t="n">
        <f aca="false">IFERROR(AVERAGE(Y2:AD2),0)</f>
        <v>1.39444444444445</v>
      </c>
      <c r="AF2" s="176" t="n">
        <v>2.07142857142857</v>
      </c>
      <c r="AG2" s="176" t="n">
        <v>0.58974358974359</v>
      </c>
      <c r="AH2" s="176" t="n">
        <v>0.61</v>
      </c>
      <c r="AI2" s="176" t="n">
        <v>0.54</v>
      </c>
      <c r="AJ2" s="176" t="n">
        <v>0.675</v>
      </c>
      <c r="AK2" s="176"/>
      <c r="AL2" s="176" t="n">
        <f aca="false">IFERROR(AVERAGE(AF2:AK2),0)</f>
        <v>0.897234432234432</v>
      </c>
      <c r="AM2" s="176" t="n">
        <v>0.86</v>
      </c>
      <c r="AN2" s="176" t="n">
        <v>0.91</v>
      </c>
      <c r="AO2" s="176"/>
      <c r="AP2" s="176"/>
      <c r="AQ2" s="176"/>
      <c r="AR2" s="176"/>
      <c r="AS2" s="176"/>
      <c r="AT2" s="176" t="n">
        <f aca="false">IFERROR(AVERAGE(AM2:AS2),0)</f>
        <v>0.885</v>
      </c>
    </row>
    <row r="3" customFormat="false" ht="21.75" hidden="false" customHeight="true" outlineLevel="0" collapsed="false">
      <c r="A3" s="30" t="n">
        <v>2</v>
      </c>
      <c r="B3" s="30" t="s">
        <v>162</v>
      </c>
      <c r="C3" s="47" t="s">
        <v>163</v>
      </c>
      <c r="D3" s="174" t="s">
        <v>164</v>
      </c>
      <c r="E3" s="25" t="s">
        <v>166</v>
      </c>
      <c r="F3" s="24" t="s">
        <v>167</v>
      </c>
      <c r="G3" s="176" t="n">
        <v>1.13559322033898</v>
      </c>
      <c r="H3" s="176" t="n">
        <v>1.32142857142857</v>
      </c>
      <c r="I3" s="176" t="n">
        <v>1.10294117647059</v>
      </c>
      <c r="J3" s="176" t="n">
        <v>0.887096774193548</v>
      </c>
      <c r="K3" s="176" t="n">
        <v>0.844827586206897</v>
      </c>
      <c r="L3" s="176" t="n">
        <v>1.03846153846154</v>
      </c>
      <c r="M3" s="176" t="n">
        <v>0.964285714285714</v>
      </c>
      <c r="N3" s="176" t="n">
        <v>1</v>
      </c>
      <c r="O3" s="176" t="n">
        <v>0.921875</v>
      </c>
      <c r="P3" s="176" t="n">
        <v>0.898305084745763</v>
      </c>
      <c r="Q3" s="176" t="n">
        <v>0.96</v>
      </c>
      <c r="R3" s="176" t="n">
        <v>1.05</v>
      </c>
      <c r="S3" s="176" t="n">
        <v>1.04545454545455</v>
      </c>
      <c r="T3" s="176" t="n">
        <v>0.948275862068966</v>
      </c>
      <c r="U3" s="176" t="n">
        <v>0.545454545454545</v>
      </c>
      <c r="V3" s="177" t="n">
        <f aca="false">IFERROR(AVERAGE(G3:U3),0)</f>
        <v>0.977599974607311</v>
      </c>
      <c r="W3" s="177" t="n">
        <f aca="false">IFERROR(AVERAGE(I3:N3),0)</f>
        <v>0.972935464936382</v>
      </c>
      <c r="X3" s="176" t="n">
        <f aca="false">IFERROR(AVERAGE(O3:U3),0)</f>
        <v>0.909909291103404</v>
      </c>
      <c r="Y3" s="176" t="n">
        <v>1.16</v>
      </c>
      <c r="Z3" s="176" t="n">
        <v>0.98</v>
      </c>
      <c r="AA3" s="176" t="n">
        <v>1.15</v>
      </c>
      <c r="AB3" s="176" t="n">
        <v>1.11</v>
      </c>
      <c r="AC3" s="176" t="n">
        <v>1.2</v>
      </c>
      <c r="AD3" s="176" t="n">
        <v>1.21</v>
      </c>
      <c r="AE3" s="176" t="n">
        <f aca="false">IFERROR(AVERAGE(Y3:AD3),0)</f>
        <v>1.135</v>
      </c>
      <c r="AF3" s="176" t="n">
        <v>1.16279069767442</v>
      </c>
      <c r="AG3" s="176" t="n">
        <v>1.20454545454545</v>
      </c>
      <c r="AH3" s="176" t="n">
        <v>1.13</v>
      </c>
      <c r="AI3" s="176" t="n">
        <v>1.11</v>
      </c>
      <c r="AJ3" s="176" t="n">
        <v>1.06</v>
      </c>
      <c r="AK3" s="176"/>
      <c r="AL3" s="176" t="n">
        <f aca="false">IFERROR(AVERAGE(AF3:AK3),0)</f>
        <v>1.13346723044397</v>
      </c>
      <c r="AM3" s="176" t="n">
        <v>1.17</v>
      </c>
      <c r="AN3" s="176" t="n">
        <v>1.38</v>
      </c>
      <c r="AO3" s="176"/>
      <c r="AP3" s="176"/>
      <c r="AQ3" s="176"/>
      <c r="AR3" s="176"/>
      <c r="AS3" s="176"/>
      <c r="AT3" s="176" t="n">
        <f aca="false">IFERROR(AVERAGE(AM3:AS3),0)</f>
        <v>1.275</v>
      </c>
    </row>
    <row r="4" customFormat="false" ht="14.25" hidden="false" customHeight="true" outlineLevel="0" collapsed="false">
      <c r="A4" s="30" t="n">
        <v>3</v>
      </c>
      <c r="B4" s="30" t="s">
        <v>162</v>
      </c>
      <c r="C4" s="47" t="s">
        <v>163</v>
      </c>
      <c r="D4" s="174" t="s">
        <v>168</v>
      </c>
      <c r="E4" s="25" t="s">
        <v>166</v>
      </c>
      <c r="F4" s="25" t="s">
        <v>169</v>
      </c>
      <c r="G4" s="176" t="n">
        <v>0.756756756756757</v>
      </c>
      <c r="H4" s="176" t="n">
        <v>0.914285714285714</v>
      </c>
      <c r="I4" s="176" t="n">
        <v>0.555555555555556</v>
      </c>
      <c r="J4" s="176" t="n">
        <v>0.65</v>
      </c>
      <c r="K4" s="176" t="n">
        <v>0.810810810810811</v>
      </c>
      <c r="L4" s="176" t="n">
        <v>0.69</v>
      </c>
      <c r="M4" s="176" t="n">
        <v>0.57</v>
      </c>
      <c r="N4" s="176" t="n">
        <v>0.61</v>
      </c>
      <c r="O4" s="176" t="n">
        <v>0.7</v>
      </c>
      <c r="P4" s="176" t="n">
        <v>0.83</v>
      </c>
      <c r="Q4" s="176" t="n">
        <v>0.75</v>
      </c>
      <c r="R4" s="176" t="n">
        <v>0.67</v>
      </c>
      <c r="S4" s="176" t="n">
        <v>0.901234567901235</v>
      </c>
      <c r="T4" s="176" t="n">
        <v>0.797752808988764</v>
      </c>
      <c r="U4" s="176" t="n">
        <v>0.681481481481482</v>
      </c>
      <c r="V4" s="177" t="n">
        <f aca="false">IFERROR(AVERAGE(G4:U4),0)</f>
        <v>0.725858513052021</v>
      </c>
      <c r="W4" s="177" t="n">
        <f aca="false">IFERROR(AVERAGE(I4:N4),0)</f>
        <v>0.647727727727728</v>
      </c>
      <c r="X4" s="176" t="n">
        <f aca="false">IFERROR(AVERAGE(O4:U4),0)</f>
        <v>0.761495551195926</v>
      </c>
      <c r="Y4" s="176" t="n">
        <v>0.52</v>
      </c>
      <c r="Z4" s="176" t="n">
        <v>0.85</v>
      </c>
      <c r="AA4" s="176" t="n">
        <v>0.84</v>
      </c>
      <c r="AB4" s="176" t="n">
        <v>0.78</v>
      </c>
      <c r="AC4" s="176" t="n">
        <v>0.86</v>
      </c>
      <c r="AD4" s="176" t="n">
        <v>0.7</v>
      </c>
      <c r="AE4" s="176" t="n">
        <f aca="false">IFERROR(AVERAGE(Y4:AD4),0)</f>
        <v>0.758333333333333</v>
      </c>
      <c r="AF4" s="176" t="n">
        <v>0.86046511627907</v>
      </c>
      <c r="AG4" s="176" t="n">
        <v>0.829268292682927</v>
      </c>
      <c r="AH4" s="176" t="n">
        <v>0.84</v>
      </c>
      <c r="AI4" s="176" t="n">
        <v>0.89</v>
      </c>
      <c r="AJ4" s="176" t="n">
        <v>0.849557522123894</v>
      </c>
      <c r="AK4" s="176" t="n">
        <v>0.941747572815534</v>
      </c>
      <c r="AL4" s="176" t="n">
        <f aca="false">IFERROR(AVERAGE(AF4:AK4),0)</f>
        <v>0.868506417316904</v>
      </c>
      <c r="AM4" s="176" t="n">
        <v>0.96</v>
      </c>
      <c r="AN4" s="176" t="n">
        <v>0.98</v>
      </c>
      <c r="AO4" s="176"/>
      <c r="AP4" s="176"/>
      <c r="AQ4" s="176"/>
      <c r="AR4" s="176"/>
      <c r="AS4" s="176"/>
      <c r="AT4" s="176" t="n">
        <f aca="false">IFERROR(AVERAGE(AM4:AS4),0)</f>
        <v>0.97</v>
      </c>
    </row>
    <row r="5" customFormat="false" ht="14.25" hidden="false" customHeight="true" outlineLevel="0" collapsed="false">
      <c r="A5" s="30" t="n">
        <v>4</v>
      </c>
      <c r="B5" s="30" t="s">
        <v>162</v>
      </c>
      <c r="C5" s="47" t="s">
        <v>163</v>
      </c>
      <c r="D5" s="174" t="s">
        <v>168</v>
      </c>
      <c r="E5" s="25" t="s">
        <v>166</v>
      </c>
      <c r="F5" s="25" t="s">
        <v>170</v>
      </c>
      <c r="G5" s="176" t="n">
        <v>1.88888888888889</v>
      </c>
      <c r="H5" s="176" t="n">
        <v>1.14285714285714</v>
      </c>
      <c r="I5" s="176" t="n">
        <v>2.15789473684211</v>
      </c>
      <c r="J5" s="176" t="n">
        <v>3.57142857142857</v>
      </c>
      <c r="K5" s="176" t="n">
        <v>5.66666666666667</v>
      </c>
      <c r="L5" s="176" t="n">
        <v>4.428</v>
      </c>
      <c r="M5" s="176" t="n">
        <v>5.66666666666667</v>
      </c>
      <c r="N5" s="176" t="n">
        <v>4.4</v>
      </c>
      <c r="O5" s="176" t="n">
        <v>5.67</v>
      </c>
      <c r="P5" s="176" t="n">
        <v>5.33</v>
      </c>
      <c r="Q5" s="176" t="n">
        <v>1.4</v>
      </c>
      <c r="R5" s="176" t="n">
        <v>2</v>
      </c>
      <c r="S5" s="176" t="n">
        <v>1.5</v>
      </c>
      <c r="T5" s="176" t="n">
        <v>1.41666666666667</v>
      </c>
      <c r="U5" s="176" t="n">
        <v>1.33333333333333</v>
      </c>
      <c r="V5" s="177" t="n">
        <f aca="false">IFERROR(AVERAGE(G5:U5),0)</f>
        <v>3.17149351155667</v>
      </c>
      <c r="W5" s="177" t="n">
        <f aca="false">IFERROR(AVERAGE(I5:N5),0)</f>
        <v>4.31510944026734</v>
      </c>
      <c r="X5" s="176" t="n">
        <f aca="false">IFERROR(AVERAGE(O5:U5),0)</f>
        <v>2.66428571428571</v>
      </c>
      <c r="Y5" s="176" t="n">
        <v>3.25</v>
      </c>
      <c r="Z5" s="176" t="n">
        <v>0.71</v>
      </c>
      <c r="AA5" s="176" t="n">
        <v>1.46</v>
      </c>
      <c r="AB5" s="176" t="n">
        <v>1.43</v>
      </c>
      <c r="AC5" s="176" t="n">
        <v>12</v>
      </c>
      <c r="AD5" s="176" t="n">
        <v>1.63</v>
      </c>
      <c r="AE5" s="176" t="n">
        <f aca="false">IFERROR(AVERAGE(Y5:AD5),0)</f>
        <v>3.41333333333333</v>
      </c>
      <c r="AF5" s="176" t="n">
        <v>1.21428571428571</v>
      </c>
      <c r="AG5" s="176" t="n">
        <v>1.23076923076923</v>
      </c>
      <c r="AH5" s="176" t="n">
        <v>1.06</v>
      </c>
      <c r="AI5" s="176" t="n">
        <v>3.33</v>
      </c>
      <c r="AJ5" s="176" t="n">
        <v>1.06666666666667</v>
      </c>
      <c r="AK5" s="176"/>
      <c r="AL5" s="176" t="n">
        <f aca="false">IFERROR(AVERAGE(AF5:AK5),0)</f>
        <v>1.58034432234432</v>
      </c>
      <c r="AM5" s="176" t="n">
        <v>0.76</v>
      </c>
      <c r="AN5" s="176" t="n">
        <v>0.95</v>
      </c>
      <c r="AO5" s="176" t="n">
        <v>0.81</v>
      </c>
      <c r="AP5" s="176"/>
      <c r="AQ5" s="176"/>
      <c r="AR5" s="176"/>
      <c r="AS5" s="176"/>
      <c r="AT5" s="176" t="n">
        <f aca="false">IFERROR(AVERAGE(AM5:AS5),0)</f>
        <v>0.84</v>
      </c>
    </row>
    <row r="6" customFormat="false" ht="14.25" hidden="false" customHeight="true" outlineLevel="0" collapsed="false">
      <c r="A6" s="30" t="n">
        <v>5</v>
      </c>
      <c r="B6" s="33" t="s">
        <v>162</v>
      </c>
      <c r="C6" s="47" t="s">
        <v>163</v>
      </c>
      <c r="D6" s="174" t="s">
        <v>168</v>
      </c>
      <c r="E6" s="25" t="s">
        <v>166</v>
      </c>
      <c r="F6" s="25" t="s">
        <v>171</v>
      </c>
      <c r="G6" s="176" t="n">
        <v>0.783333333333333</v>
      </c>
      <c r="H6" s="176" t="n">
        <v>0.877551020408163</v>
      </c>
      <c r="I6" s="176" t="n">
        <v>0.845070422535211</v>
      </c>
      <c r="J6" s="176" t="n">
        <v>1.02739726027397</v>
      </c>
      <c r="K6" s="176" t="n">
        <v>0.987654320987654</v>
      </c>
      <c r="L6" s="176" t="n">
        <v>0.723076923076923</v>
      </c>
      <c r="M6" s="176" t="n">
        <v>0.976190476190476</v>
      </c>
      <c r="N6" s="176" t="n">
        <v>0.943661971830986</v>
      </c>
      <c r="O6" s="176" t="n">
        <v>1</v>
      </c>
      <c r="P6" s="176" t="n">
        <v>1.04</v>
      </c>
      <c r="Q6" s="176" t="n">
        <v>1</v>
      </c>
      <c r="R6" s="176" t="n">
        <v>0.83</v>
      </c>
      <c r="S6" s="176" t="n">
        <v>1.11111111111111</v>
      </c>
      <c r="T6" s="176" t="n">
        <v>1</v>
      </c>
      <c r="U6" s="176" t="n">
        <v>1</v>
      </c>
      <c r="V6" s="177" t="n">
        <f aca="false">IFERROR(AVERAGE(G6:U6),0)</f>
        <v>0.943003122649855</v>
      </c>
      <c r="W6" s="177" t="n">
        <f aca="false">IFERROR(AVERAGE(I6:N6),0)</f>
        <v>0.917175229149203</v>
      </c>
      <c r="X6" s="176" t="n">
        <f aca="false">IFERROR(AVERAGE(O6:U6),0)</f>
        <v>0.997301587301587</v>
      </c>
      <c r="Y6" s="176" t="n">
        <v>1</v>
      </c>
      <c r="Z6" s="176" t="n">
        <v>1</v>
      </c>
      <c r="AA6" s="176" t="n">
        <v>1.09</v>
      </c>
      <c r="AB6" s="176" t="n">
        <v>1</v>
      </c>
      <c r="AC6" s="176" t="n">
        <v>1</v>
      </c>
      <c r="AD6" s="176" t="n">
        <v>1</v>
      </c>
      <c r="AE6" s="176" t="n">
        <f aca="false">IFERROR(AVERAGE(Y6:AD6),0)</f>
        <v>1.015</v>
      </c>
      <c r="AF6" s="176" t="n">
        <v>0.955223880597015</v>
      </c>
      <c r="AG6" s="176" t="n">
        <v>1</v>
      </c>
      <c r="AH6" s="176" t="n">
        <v>1</v>
      </c>
      <c r="AI6" s="176" t="n">
        <v>1.03</v>
      </c>
      <c r="AJ6" s="176" t="n">
        <v>0.923076923076923</v>
      </c>
      <c r="AK6" s="176" t="n">
        <v>0.923076923076923</v>
      </c>
      <c r="AL6" s="176" t="n">
        <f aca="false">IFERROR(AVERAGE(AF6:AK6),0)</f>
        <v>0.97189628779181</v>
      </c>
      <c r="AM6" s="176" t="n">
        <v>1</v>
      </c>
      <c r="AN6" s="176" t="n">
        <v>1</v>
      </c>
      <c r="AO6" s="176" t="n">
        <v>1</v>
      </c>
      <c r="AP6" s="176"/>
      <c r="AQ6" s="176"/>
      <c r="AR6" s="176"/>
      <c r="AS6" s="176"/>
      <c r="AT6" s="176" t="n">
        <f aca="false">IFERROR(AVERAGE(AM6:AS6),0)</f>
        <v>1</v>
      </c>
    </row>
    <row r="7" customFormat="false" ht="14.25" hidden="false" customHeight="true" outlineLevel="0" collapsed="false">
      <c r="A7" s="30" t="n">
        <v>6</v>
      </c>
      <c r="B7" s="33" t="s">
        <v>162</v>
      </c>
      <c r="C7" s="47" t="s">
        <v>163</v>
      </c>
      <c r="D7" s="174" t="s">
        <v>168</v>
      </c>
      <c r="E7" s="25" t="s">
        <v>166</v>
      </c>
      <c r="F7" s="25" t="s">
        <v>172</v>
      </c>
      <c r="G7" s="176" t="n">
        <v>0.857142857142857</v>
      </c>
      <c r="H7" s="176" t="n">
        <v>0.863636363636364</v>
      </c>
      <c r="I7" s="176" t="n">
        <v>1</v>
      </c>
      <c r="J7" s="176" t="n">
        <v>1.0625</v>
      </c>
      <c r="K7" s="176" t="n">
        <v>1.08888888888889</v>
      </c>
      <c r="L7" s="176" t="n">
        <v>0.813559322033898</v>
      </c>
      <c r="M7" s="176" t="n">
        <v>0.921052631578947</v>
      </c>
      <c r="N7" s="176" t="n">
        <v>1</v>
      </c>
      <c r="O7" s="176" t="n">
        <v>1</v>
      </c>
      <c r="P7" s="176" t="n">
        <v>0.89</v>
      </c>
      <c r="Q7" s="176" t="n">
        <v>0.983050847457627</v>
      </c>
      <c r="R7" s="176" t="n">
        <v>0.93</v>
      </c>
      <c r="S7" s="176" t="n">
        <v>0.981132075471698</v>
      </c>
      <c r="T7" s="176" t="n">
        <v>0.883333333333333</v>
      </c>
      <c r="U7" s="176" t="n">
        <v>0.984848484848485</v>
      </c>
      <c r="V7" s="177" t="n">
        <f aca="false">IFERROR(AVERAGE(G7:U7),0)</f>
        <v>0.95060965362614</v>
      </c>
      <c r="W7" s="177" t="n">
        <f aca="false">IFERROR(AVERAGE(I7:N7),0)</f>
        <v>0.981000140416956</v>
      </c>
      <c r="X7" s="176" t="n">
        <f aca="false">IFERROR(AVERAGE(O7:U7),0)</f>
        <v>0.950337820158735</v>
      </c>
      <c r="Y7" s="176" t="n">
        <v>1</v>
      </c>
      <c r="Z7" s="176" t="n">
        <v>0.98</v>
      </c>
      <c r="AA7" s="176" t="n">
        <v>1.03</v>
      </c>
      <c r="AB7" s="176" t="n">
        <v>1.21</v>
      </c>
      <c r="AC7" s="176" t="n">
        <v>1</v>
      </c>
      <c r="AD7" s="176" t="n">
        <v>0.96</v>
      </c>
      <c r="AE7" s="176" t="n">
        <f aca="false">IFERROR(AVERAGE(Y7:AD7),0)</f>
        <v>1.03</v>
      </c>
      <c r="AF7" s="176" t="n">
        <v>1</v>
      </c>
      <c r="AG7" s="176" t="n">
        <v>0.970149253731343</v>
      </c>
      <c r="AH7" s="176" t="n">
        <v>1</v>
      </c>
      <c r="AI7" s="176" t="n">
        <v>0.99</v>
      </c>
      <c r="AJ7" s="176" t="n">
        <v>1.05970149253731</v>
      </c>
      <c r="AK7" s="176" t="n">
        <v>1</v>
      </c>
      <c r="AL7" s="176" t="n">
        <f aca="false">IFERROR(AVERAGE(AF7:AK7),0)</f>
        <v>1.00330845771144</v>
      </c>
      <c r="AM7" s="176" t="n">
        <v>1.07</v>
      </c>
      <c r="AN7" s="176" t="n">
        <v>1.01</v>
      </c>
      <c r="AO7" s="176" t="n">
        <v>0.97</v>
      </c>
      <c r="AP7" s="176"/>
      <c r="AQ7" s="176"/>
      <c r="AR7" s="176"/>
      <c r="AS7" s="176"/>
      <c r="AT7" s="176" t="n">
        <f aca="false">IFERROR(AVERAGE(AM7:AS7),0)</f>
        <v>1.01666666666667</v>
      </c>
    </row>
    <row r="8" customFormat="false" ht="14.25" hidden="false" customHeight="true" outlineLevel="0" collapsed="false">
      <c r="A8" s="30" t="n">
        <v>7</v>
      </c>
      <c r="B8" s="30" t="s">
        <v>162</v>
      </c>
      <c r="C8" s="47" t="s">
        <v>163</v>
      </c>
      <c r="D8" s="174" t="s">
        <v>168</v>
      </c>
      <c r="E8" s="25" t="s">
        <v>166</v>
      </c>
      <c r="F8" s="25" t="s">
        <v>173</v>
      </c>
      <c r="G8" s="176" t="n">
        <v>0.80952380952381</v>
      </c>
      <c r="H8" s="176" t="n">
        <v>1</v>
      </c>
      <c r="I8" s="176" t="n">
        <v>0.882352941176471</v>
      </c>
      <c r="J8" s="176" t="n">
        <v>0.894736842105263</v>
      </c>
      <c r="K8" s="176" t="n">
        <v>1</v>
      </c>
      <c r="L8" s="176" t="n">
        <v>0.72</v>
      </c>
      <c r="M8" s="176" t="n">
        <v>0.68</v>
      </c>
      <c r="N8" s="176" t="n">
        <v>0.896551724137931</v>
      </c>
      <c r="O8" s="176" t="n">
        <v>0.782608695652174</v>
      </c>
      <c r="P8" s="176" t="n">
        <v>0.681818181818182</v>
      </c>
      <c r="Q8" s="176" t="n">
        <v>0.588235294117647</v>
      </c>
      <c r="R8" s="176" t="n">
        <v>0.25</v>
      </c>
      <c r="S8" s="176" t="n">
        <v>0.65</v>
      </c>
      <c r="T8" s="176" t="n">
        <v>0.421052631578947</v>
      </c>
      <c r="U8" s="176" t="n">
        <v>0.75</v>
      </c>
      <c r="V8" s="177" t="n">
        <f aca="false">IFERROR(AVERAGE(G8:U8),0)</f>
        <v>0.733792008007362</v>
      </c>
      <c r="W8" s="177" t="n">
        <f aca="false">IFERROR(AVERAGE(I8:N8),0)</f>
        <v>0.845606917903278</v>
      </c>
      <c r="X8" s="176" t="n">
        <f aca="false">IFERROR(AVERAGE(O8:U8),0)</f>
        <v>0.589102114738136</v>
      </c>
      <c r="Y8" s="176" t="n">
        <v>0.67</v>
      </c>
      <c r="Z8" s="176" t="n">
        <v>0.56</v>
      </c>
      <c r="AA8" s="176" t="n">
        <v>1</v>
      </c>
      <c r="AB8" s="176" t="n">
        <v>0.44</v>
      </c>
      <c r="AC8" s="176" t="n">
        <v>1</v>
      </c>
      <c r="AD8" s="176" t="n">
        <v>0.87</v>
      </c>
      <c r="AE8" s="176" t="n">
        <f aca="false">IFERROR(AVERAGE(Y8:AD8),0)</f>
        <v>0.756666666666667</v>
      </c>
      <c r="AF8" s="176" t="n">
        <v>1.0952380952381</v>
      </c>
      <c r="AG8" s="176" t="n">
        <v>0.862068965517241</v>
      </c>
      <c r="AH8" s="176" t="n">
        <v>0.69</v>
      </c>
      <c r="AI8" s="176" t="n">
        <v>1</v>
      </c>
      <c r="AJ8" s="176" t="n">
        <v>1.26666666666667</v>
      </c>
      <c r="AK8" s="176" t="n">
        <v>1.4</v>
      </c>
      <c r="AL8" s="176" t="n">
        <f aca="false">IFERROR(AVERAGE(AF8:AK8),0)</f>
        <v>1.05232895457034</v>
      </c>
      <c r="AM8" s="176" t="n">
        <v>1</v>
      </c>
      <c r="AN8" s="176" t="n">
        <v>1.2</v>
      </c>
      <c r="AO8" s="176" t="n">
        <v>1</v>
      </c>
      <c r="AP8" s="176"/>
      <c r="AQ8" s="176"/>
      <c r="AR8" s="176"/>
      <c r="AS8" s="176"/>
      <c r="AT8" s="176" t="n">
        <f aca="false">IFERROR(AVERAGE(AM8:AS8),0)</f>
        <v>1.06666666666667</v>
      </c>
    </row>
    <row r="9" customFormat="false" ht="21.75" hidden="false" customHeight="true" outlineLevel="0" collapsed="false">
      <c r="A9" s="30" t="n">
        <v>8</v>
      </c>
      <c r="B9" s="30" t="s">
        <v>162</v>
      </c>
      <c r="C9" s="47" t="s">
        <v>163</v>
      </c>
      <c r="D9" s="174" t="s">
        <v>164</v>
      </c>
      <c r="E9" s="25" t="s">
        <v>166</v>
      </c>
      <c r="F9" s="34" t="s">
        <v>174</v>
      </c>
      <c r="G9" s="176" t="n">
        <v>0.931034482758621</v>
      </c>
      <c r="H9" s="176" t="n">
        <v>0.4</v>
      </c>
      <c r="I9" s="176" t="n">
        <v>0.28</v>
      </c>
      <c r="J9" s="176" t="n">
        <v>0.940298507462687</v>
      </c>
      <c r="K9" s="176" t="n">
        <v>0.75</v>
      </c>
      <c r="L9" s="176" t="n">
        <v>0.808823529411765</v>
      </c>
      <c r="M9" s="176" t="n">
        <v>0.603448275862069</v>
      </c>
      <c r="N9" s="176" t="n">
        <v>0.791666666666667</v>
      </c>
      <c r="O9" s="176" t="n">
        <v>1.28846153846154</v>
      </c>
      <c r="P9" s="176" t="n">
        <v>1.11864406779661</v>
      </c>
      <c r="Q9" s="176" t="n">
        <v>1.0327868852459</v>
      </c>
      <c r="R9" s="176" t="n">
        <v>1.28</v>
      </c>
      <c r="S9" s="176" t="n">
        <v>1.01694915254237</v>
      </c>
      <c r="T9" s="176" t="n">
        <v>1.25806451612903</v>
      </c>
      <c r="U9" s="176" t="n">
        <v>1.10810810810811</v>
      </c>
      <c r="V9" s="177" t="n">
        <f aca="false">IFERROR(AVERAGE(G9:U9),0)</f>
        <v>0.907219048696358</v>
      </c>
      <c r="W9" s="177" t="n">
        <f aca="false">IFERROR(AVERAGE(I9:N9),0)</f>
        <v>0.695706163233865</v>
      </c>
      <c r="X9" s="176" t="n">
        <f aca="false">IFERROR(AVERAGE(O9:U9),0)</f>
        <v>1.15757346689765</v>
      </c>
      <c r="Y9" s="176" t="n">
        <v>1</v>
      </c>
      <c r="Z9" s="176" t="n">
        <v>1.16</v>
      </c>
      <c r="AA9" s="176" t="n">
        <v>1.11</v>
      </c>
      <c r="AB9" s="176" t="n">
        <v>1.33</v>
      </c>
      <c r="AC9" s="176" t="n">
        <v>0.89</v>
      </c>
      <c r="AD9" s="176" t="n">
        <v>1.39</v>
      </c>
      <c r="AE9" s="176" t="n">
        <f aca="false">IFERROR(AVERAGE(Y9:AD9),0)</f>
        <v>1.14666666666667</v>
      </c>
      <c r="AF9" s="176" t="n">
        <v>1.16</v>
      </c>
      <c r="AG9" s="176" t="n">
        <v>0.976190476190476</v>
      </c>
      <c r="AH9" s="176" t="n">
        <v>1.24</v>
      </c>
      <c r="AI9" s="176" t="n">
        <v>1.03</v>
      </c>
      <c r="AJ9" s="176" t="n">
        <v>1.11428571428571</v>
      </c>
      <c r="AK9" s="176" t="n">
        <v>1.225</v>
      </c>
      <c r="AL9" s="176" t="n">
        <f aca="false">IFERROR(AVERAGE(AF9:AK9),0)</f>
        <v>1.12424603174603</v>
      </c>
      <c r="AM9" s="176" t="n">
        <v>1.37</v>
      </c>
      <c r="AN9" s="176" t="n">
        <v>1.02</v>
      </c>
      <c r="AO9" s="176" t="n">
        <v>0.93</v>
      </c>
      <c r="AP9" s="176"/>
      <c r="AQ9" s="176"/>
      <c r="AR9" s="176"/>
      <c r="AS9" s="176"/>
      <c r="AT9" s="176" t="n">
        <f aca="false">IFERROR(AVERAGE(AM9:AS9),0)</f>
        <v>1.10666666666667</v>
      </c>
    </row>
    <row r="10" customFormat="false" ht="21.75" hidden="false" customHeight="true" outlineLevel="0" collapsed="false">
      <c r="A10" s="30" t="n">
        <v>9</v>
      </c>
      <c r="B10" s="30" t="s">
        <v>162</v>
      </c>
      <c r="C10" s="47" t="s">
        <v>163</v>
      </c>
      <c r="D10" s="174" t="s">
        <v>164</v>
      </c>
      <c r="E10" s="25" t="s">
        <v>176</v>
      </c>
      <c r="F10" s="34" t="s">
        <v>175</v>
      </c>
      <c r="G10" s="176" t="n">
        <v>1.7741935483871</v>
      </c>
      <c r="H10" s="176" t="n">
        <v>0.892857142857143</v>
      </c>
      <c r="I10" s="176" t="n">
        <v>1.15909090909091</v>
      </c>
      <c r="J10" s="176" t="n">
        <v>1.26470588235294</v>
      </c>
      <c r="K10" s="176" t="n">
        <v>1.04651162790698</v>
      </c>
      <c r="L10" s="176" t="n">
        <v>1.375</v>
      </c>
      <c r="M10" s="176" t="n">
        <v>0.875</v>
      </c>
      <c r="N10" s="176" t="n">
        <v>0.883720930232558</v>
      </c>
      <c r="O10" s="176" t="n">
        <v>0.957446808510638</v>
      </c>
      <c r="P10" s="176" t="n">
        <v>0.945454545454545</v>
      </c>
      <c r="Q10" s="176" t="n">
        <v>1.05357142857143</v>
      </c>
      <c r="R10" s="176" t="n">
        <v>1</v>
      </c>
      <c r="S10" s="176" t="n">
        <v>1.02</v>
      </c>
      <c r="T10" s="176" t="n">
        <v>1.04166666666667</v>
      </c>
      <c r="U10" s="176" t="n">
        <v>1</v>
      </c>
      <c r="V10" s="177" t="n">
        <f aca="false">IFERROR(AVERAGE(G10:U10),0)</f>
        <v>1.08594796600206</v>
      </c>
      <c r="W10" s="177" t="n">
        <f aca="false">IFERROR(AVERAGE(I10:N10),0)</f>
        <v>1.1006715582639</v>
      </c>
      <c r="X10" s="176" t="n">
        <f aca="false">IFERROR(AVERAGE(O10:U10),0)</f>
        <v>1.00259134988618</v>
      </c>
      <c r="Y10" s="178"/>
      <c r="Z10" s="178"/>
      <c r="AA10" s="178"/>
      <c r="AB10" s="178"/>
      <c r="AC10" s="178"/>
      <c r="AD10" s="178"/>
      <c r="AE10" s="178" t="n">
        <f aca="false">IFERROR(AVERAGE(Y10:AD10),0)</f>
        <v>0</v>
      </c>
      <c r="AF10" s="178"/>
      <c r="AG10" s="178"/>
      <c r="AH10" s="178"/>
      <c r="AI10" s="178"/>
      <c r="AJ10" s="178"/>
      <c r="AK10" s="178"/>
      <c r="AL10" s="178" t="n">
        <f aca="false">IFERROR(AVERAGE(AF10:AK10),0)</f>
        <v>0</v>
      </c>
      <c r="AM10" s="178"/>
      <c r="AN10" s="178"/>
      <c r="AO10" s="178"/>
      <c r="AP10" s="178"/>
      <c r="AQ10" s="178"/>
      <c r="AR10" s="178"/>
      <c r="AS10" s="178"/>
      <c r="AT10" s="178"/>
    </row>
    <row r="11" customFormat="false" ht="21.75" hidden="false" customHeight="true" outlineLevel="0" collapsed="false">
      <c r="A11" s="30" t="n">
        <v>10</v>
      </c>
      <c r="B11" s="30" t="s">
        <v>162</v>
      </c>
      <c r="C11" s="47" t="s">
        <v>163</v>
      </c>
      <c r="D11" s="174" t="s">
        <v>164</v>
      </c>
      <c r="E11" s="25" t="s">
        <v>166</v>
      </c>
      <c r="F11" s="34" t="s">
        <v>178</v>
      </c>
      <c r="G11" s="176" t="n">
        <v>0.642857142857143</v>
      </c>
      <c r="H11" s="176" t="n">
        <v>0.928571428571429</v>
      </c>
      <c r="I11" s="176" t="n">
        <v>1.41463414634146</v>
      </c>
      <c r="J11" s="176" t="n">
        <v>1</v>
      </c>
      <c r="K11" s="176" t="n">
        <v>1</v>
      </c>
      <c r="L11" s="176" t="n">
        <v>1.04444444444444</v>
      </c>
      <c r="M11" s="176" t="n">
        <v>1</v>
      </c>
      <c r="N11" s="176" t="n">
        <v>0.564102564102564</v>
      </c>
      <c r="O11" s="176" t="n">
        <v>1.07692307692308</v>
      </c>
      <c r="P11" s="176" t="n">
        <v>1</v>
      </c>
      <c r="Q11" s="176" t="n">
        <v>1.5</v>
      </c>
      <c r="R11" s="176" t="n">
        <v>1.34</v>
      </c>
      <c r="S11" s="176" t="n">
        <v>1.13793103448276</v>
      </c>
      <c r="T11" s="176" t="n">
        <v>1.17391304347826</v>
      </c>
      <c r="U11" s="176" t="n">
        <v>1.03571428571429</v>
      </c>
      <c r="V11" s="177" t="n">
        <f aca="false">IFERROR(AVERAGE(G11:U11),0)</f>
        <v>1.05727274446103</v>
      </c>
      <c r="W11" s="177" t="n">
        <f aca="false">IFERROR(AVERAGE(I11:N11),0)</f>
        <v>1.00386352581474</v>
      </c>
      <c r="X11" s="176" t="n">
        <f aca="false">IFERROR(AVERAGE(O11:U11),0)</f>
        <v>1.18064020579977</v>
      </c>
      <c r="Y11" s="176" t="n">
        <v>1</v>
      </c>
      <c r="Z11" s="176" t="n">
        <v>1</v>
      </c>
      <c r="AA11" s="176" t="n">
        <v>0.99</v>
      </c>
      <c r="AB11" s="176" t="n">
        <v>1.3</v>
      </c>
      <c r="AC11" s="176" t="n">
        <v>1.27</v>
      </c>
      <c r="AD11" s="176" t="n">
        <v>1.74</v>
      </c>
      <c r="AE11" s="176" t="n">
        <f aca="false">IFERROR(AVERAGE(Y11:AD11),0)</f>
        <v>1.21666666666667</v>
      </c>
      <c r="AF11" s="176" t="n">
        <v>1.4390243902439</v>
      </c>
      <c r="AG11" s="176" t="n">
        <v>1.375</v>
      </c>
      <c r="AH11" s="176" t="n">
        <v>1.49</v>
      </c>
      <c r="AI11" s="176" t="n">
        <v>1.5</v>
      </c>
      <c r="AJ11" s="176" t="n">
        <v>1.75862068965517</v>
      </c>
      <c r="AK11" s="176" t="n">
        <v>1.08571428571429</v>
      </c>
      <c r="AL11" s="176" t="n">
        <f aca="false">IFERROR(AVERAGE(AF11:AK11),0)</f>
        <v>1.44139322760223</v>
      </c>
      <c r="AM11" s="176" t="n">
        <v>1.2</v>
      </c>
      <c r="AN11" s="176" t="n">
        <v>1.43</v>
      </c>
      <c r="AO11" s="176" t="n">
        <v>1.29</v>
      </c>
      <c r="AP11" s="176"/>
      <c r="AQ11" s="176"/>
      <c r="AR11" s="176"/>
      <c r="AS11" s="176"/>
      <c r="AT11" s="176" t="n">
        <f aca="false">IFERROR(AVERAGE(AM11:AS11),0)</f>
        <v>1.30666666666667</v>
      </c>
    </row>
    <row r="12" customFormat="false" ht="21.75" hidden="false" customHeight="true" outlineLevel="0" collapsed="false">
      <c r="A12" s="30" t="n">
        <v>11</v>
      </c>
      <c r="B12" s="30" t="s">
        <v>162</v>
      </c>
      <c r="C12" s="47" t="s">
        <v>163</v>
      </c>
      <c r="D12" s="174" t="s">
        <v>164</v>
      </c>
      <c r="E12" s="25" t="s">
        <v>166</v>
      </c>
      <c r="F12" s="34" t="s">
        <v>179</v>
      </c>
      <c r="G12" s="176" t="n">
        <v>0.174603174603175</v>
      </c>
      <c r="H12" s="176" t="n">
        <v>0.554054054054054</v>
      </c>
      <c r="I12" s="176" t="n">
        <v>0.769230769230769</v>
      </c>
      <c r="J12" s="176" t="n">
        <v>0.380952380952381</v>
      </c>
      <c r="K12" s="176" t="n">
        <v>1.05</v>
      </c>
      <c r="L12" s="176" t="n">
        <v>0.511627906976744</v>
      </c>
      <c r="M12" s="176" t="n">
        <v>0.707317073170732</v>
      </c>
      <c r="N12" s="176" t="n">
        <v>0.75</v>
      </c>
      <c r="O12" s="176" t="n">
        <v>0.958333333333333</v>
      </c>
      <c r="P12" s="176" t="n">
        <v>1.28125</v>
      </c>
      <c r="Q12" s="176" t="n">
        <v>1</v>
      </c>
      <c r="R12" s="176" t="n">
        <v>1.02</v>
      </c>
      <c r="S12" s="176" t="n">
        <v>0.86046511627907</v>
      </c>
      <c r="T12" s="176" t="n">
        <v>0.91</v>
      </c>
      <c r="U12" s="176" t="n">
        <v>0.577777777777778</v>
      </c>
      <c r="V12" s="177" t="n">
        <f aca="false">IFERROR(AVERAGE(G12:U12),0)</f>
        <v>0.767040772425202</v>
      </c>
      <c r="W12" s="177" t="n">
        <f aca="false">IFERROR(AVERAGE(I12:N12),0)</f>
        <v>0.694854688388438</v>
      </c>
      <c r="X12" s="176" t="n">
        <f aca="false">IFERROR(AVERAGE(O12:U12),0)</f>
        <v>0.943975175341454</v>
      </c>
      <c r="Y12" s="176" t="n">
        <v>0.9</v>
      </c>
      <c r="Z12" s="176" t="n">
        <v>0.82</v>
      </c>
      <c r="AA12" s="176" t="n">
        <v>0.92</v>
      </c>
      <c r="AB12" s="176" t="n">
        <v>1.41</v>
      </c>
      <c r="AC12" s="176" t="n">
        <v>1.17</v>
      </c>
      <c r="AD12" s="176" t="n">
        <v>1.15</v>
      </c>
      <c r="AE12" s="176" t="n">
        <f aca="false">IFERROR(AVERAGE(Y12:AD12),0)</f>
        <v>1.06166666666667</v>
      </c>
      <c r="AF12" s="176" t="n">
        <v>2</v>
      </c>
      <c r="AG12" s="176" t="n">
        <v>1</v>
      </c>
      <c r="AH12" s="176" t="n">
        <v>1.16</v>
      </c>
      <c r="AI12" s="176" t="n">
        <v>1.37</v>
      </c>
      <c r="AJ12" s="176" t="n">
        <v>1.04255319148936</v>
      </c>
      <c r="AK12" s="176" t="n">
        <v>1.28571428571429</v>
      </c>
      <c r="AL12" s="176" t="n">
        <f aca="false">IFERROR(AVERAGE(AF12:AK12),0)</f>
        <v>1.30971124620061</v>
      </c>
      <c r="AM12" s="176" t="n">
        <v>1.6</v>
      </c>
      <c r="AN12" s="176" t="n">
        <v>1.32</v>
      </c>
      <c r="AO12" s="176"/>
      <c r="AP12" s="176"/>
      <c r="AQ12" s="176"/>
      <c r="AR12" s="176"/>
      <c r="AS12" s="176"/>
      <c r="AT12" s="176" t="n">
        <f aca="false">IFERROR(AVERAGE(AM12:AS12),0)</f>
        <v>1.46</v>
      </c>
    </row>
    <row r="13" customFormat="false" ht="21.75" hidden="false" customHeight="true" outlineLevel="0" collapsed="false">
      <c r="A13" s="30" t="n">
        <v>12</v>
      </c>
      <c r="B13" s="30" t="s">
        <v>162</v>
      </c>
      <c r="C13" s="47" t="s">
        <v>163</v>
      </c>
      <c r="D13" s="174" t="s">
        <v>164</v>
      </c>
      <c r="E13" s="25" t="s">
        <v>166</v>
      </c>
      <c r="F13" s="34" t="s">
        <v>180</v>
      </c>
      <c r="G13" s="176" t="n">
        <v>0.32</v>
      </c>
      <c r="H13" s="176" t="n">
        <v>0.917808219178082</v>
      </c>
      <c r="I13" s="176" t="n">
        <v>1.48148148148148</v>
      </c>
      <c r="J13" s="176" t="n">
        <v>0.311111111111111</v>
      </c>
      <c r="K13" s="176" t="n">
        <v>0.510204081632653</v>
      </c>
      <c r="L13" s="176" t="n">
        <v>0.675675675675676</v>
      </c>
      <c r="M13" s="176" t="n">
        <v>0.761904761904762</v>
      </c>
      <c r="N13" s="176" t="n">
        <v>0.636363636363636</v>
      </c>
      <c r="O13" s="176" t="n">
        <v>0.78</v>
      </c>
      <c r="P13" s="176" t="n">
        <v>0.567567567567568</v>
      </c>
      <c r="Q13" s="176" t="n">
        <v>0.966666666666667</v>
      </c>
      <c r="R13" s="176" t="n">
        <v>0.95</v>
      </c>
      <c r="S13" s="176" t="n">
        <v>0.680851063829787</v>
      </c>
      <c r="T13" s="176" t="n">
        <v>1.13</v>
      </c>
      <c r="U13" s="176" t="n">
        <v>0.852941176470588</v>
      </c>
      <c r="V13" s="177" t="n">
        <f aca="false">IFERROR(AVERAGE(G13:U13),0)</f>
        <v>0.769505029458801</v>
      </c>
      <c r="W13" s="177" t="n">
        <f aca="false">IFERROR(AVERAGE(I13:N13),0)</f>
        <v>0.729456791361553</v>
      </c>
      <c r="X13" s="176" t="n">
        <f aca="false">IFERROR(AVERAGE(O13:U13),0)</f>
        <v>0.846860924933516</v>
      </c>
      <c r="Y13" s="176" t="n">
        <v>1.12</v>
      </c>
      <c r="Z13" s="176" t="n">
        <v>1.06</v>
      </c>
      <c r="AA13" s="176" t="n">
        <v>1.06</v>
      </c>
      <c r="AB13" s="176" t="n">
        <v>1.31</v>
      </c>
      <c r="AC13" s="176" t="n">
        <v>0.87</v>
      </c>
      <c r="AD13" s="176" t="n">
        <v>1.34</v>
      </c>
      <c r="AE13" s="176" t="n">
        <f aca="false">IFERROR(AVERAGE(Y13:AD13),0)</f>
        <v>1.12666666666667</v>
      </c>
      <c r="AF13" s="176" t="n">
        <v>1.86363636363636</v>
      </c>
      <c r="AG13" s="176" t="n">
        <v>1.25862068965517</v>
      </c>
      <c r="AH13" s="176" t="n">
        <v>1</v>
      </c>
      <c r="AI13" s="176" t="n">
        <v>1.38</v>
      </c>
      <c r="AJ13" s="176" t="n">
        <v>0.982142857142857</v>
      </c>
      <c r="AK13" s="176" t="n">
        <v>0.779661016949153</v>
      </c>
      <c r="AL13" s="176" t="n">
        <f aca="false">IFERROR(AVERAGE(AF13:AK13),0)</f>
        <v>1.21067682123059</v>
      </c>
      <c r="AM13" s="176"/>
      <c r="AN13" s="176"/>
      <c r="AO13" s="176"/>
      <c r="AP13" s="176"/>
      <c r="AQ13" s="176"/>
      <c r="AR13" s="176"/>
      <c r="AS13" s="176"/>
      <c r="AT13" s="176" t="n">
        <f aca="false">IFERROR(AVERAGE(AM13:AS13),0)</f>
        <v>0</v>
      </c>
    </row>
    <row r="14" customFormat="false" ht="21.75" hidden="false" customHeight="true" outlineLevel="0" collapsed="false">
      <c r="A14" s="30" t="n">
        <v>13</v>
      </c>
      <c r="B14" s="30" t="s">
        <v>162</v>
      </c>
      <c r="C14" s="47" t="s">
        <v>181</v>
      </c>
      <c r="D14" s="47" t="s">
        <v>182</v>
      </c>
      <c r="E14" s="25" t="s">
        <v>166</v>
      </c>
      <c r="F14" s="49" t="s">
        <v>183</v>
      </c>
      <c r="G14" s="176" t="n">
        <v>1.15492957746479</v>
      </c>
      <c r="H14" s="176" t="n">
        <v>0.794520547945205</v>
      </c>
      <c r="I14" s="176" t="n">
        <v>1</v>
      </c>
      <c r="J14" s="176" t="n">
        <v>1.03</v>
      </c>
      <c r="K14" s="176" t="n">
        <v>1.09</v>
      </c>
      <c r="L14" s="176" t="n">
        <v>1.01</v>
      </c>
      <c r="M14" s="176" t="n">
        <v>1.59</v>
      </c>
      <c r="N14" s="176" t="n">
        <v>1.77</v>
      </c>
      <c r="O14" s="176" t="n">
        <v>1.39</v>
      </c>
      <c r="P14" s="176" t="n">
        <v>0.83</v>
      </c>
      <c r="Q14" s="176" t="n">
        <v>0.76</v>
      </c>
      <c r="R14" s="176" t="n">
        <v>0.66</v>
      </c>
      <c r="S14" s="176" t="n">
        <v>0.860759493670886</v>
      </c>
      <c r="T14" s="176" t="n">
        <v>0.710843373493976</v>
      </c>
      <c r="U14" s="176" t="n">
        <v>0.782608695652174</v>
      </c>
      <c r="V14" s="177" t="n">
        <f aca="false">IFERROR(AVERAGE(G14:U14),0)</f>
        <v>1.02891077921514</v>
      </c>
      <c r="W14" s="177" t="n">
        <f aca="false">IFERROR(AVERAGE(I14:N14),0)</f>
        <v>1.24833333333333</v>
      </c>
      <c r="X14" s="176" t="n">
        <f aca="false">IFERROR(AVERAGE(O14:U14),0)</f>
        <v>0.856315937545291</v>
      </c>
      <c r="Y14" s="176" t="n">
        <v>1.07</v>
      </c>
      <c r="Z14" s="176" t="n">
        <v>0.86</v>
      </c>
      <c r="AA14" s="176" t="n">
        <v>0.96</v>
      </c>
      <c r="AB14" s="176" t="n">
        <v>0.88</v>
      </c>
      <c r="AC14" s="176" t="n">
        <v>0.73</v>
      </c>
      <c r="AD14" s="176" t="n">
        <v>0.69</v>
      </c>
      <c r="AE14" s="176" t="n">
        <f aca="false">IFERROR(AVERAGE(Y14:AD14),0)</f>
        <v>0.865</v>
      </c>
      <c r="AF14" s="176" t="n">
        <v>0.78</v>
      </c>
      <c r="AG14" s="176" t="n">
        <v>0.727272727272727</v>
      </c>
      <c r="AH14" s="176" t="n">
        <v>0.71</v>
      </c>
      <c r="AI14" s="176" t="n">
        <v>1.22</v>
      </c>
      <c r="AJ14" s="176" t="n">
        <v>0.625</v>
      </c>
      <c r="AK14" s="176"/>
      <c r="AL14" s="176" t="n">
        <f aca="false">IFERROR(AVERAGE(AF14:AK14),0)</f>
        <v>0.812454545454545</v>
      </c>
      <c r="AM14" s="176" t="n">
        <v>0.7</v>
      </c>
      <c r="AN14" s="176" t="n">
        <v>0.9</v>
      </c>
      <c r="AO14" s="176" t="n">
        <v>1.12</v>
      </c>
      <c r="AQ14" s="176"/>
      <c r="AR14" s="176"/>
      <c r="AS14" s="176"/>
      <c r="AT14" s="176" t="n">
        <f aca="false">IFERROR(AVERAGE(AM14:AS14),0)</f>
        <v>0.906666666666667</v>
      </c>
    </row>
    <row r="15" customFormat="false" ht="21.75" hidden="false" customHeight="true" outlineLevel="0" collapsed="false">
      <c r="A15" s="30" t="n">
        <v>14</v>
      </c>
      <c r="B15" s="30" t="s">
        <v>162</v>
      </c>
      <c r="C15" s="47" t="s">
        <v>181</v>
      </c>
      <c r="D15" s="47" t="s">
        <v>182</v>
      </c>
      <c r="E15" s="25" t="s">
        <v>166</v>
      </c>
      <c r="F15" s="49" t="s">
        <v>184</v>
      </c>
      <c r="G15" s="175"/>
      <c r="H15" s="175"/>
      <c r="I15" s="175"/>
      <c r="J15" s="176" t="n">
        <v>1</v>
      </c>
      <c r="K15" s="176" t="n">
        <v>0.85</v>
      </c>
      <c r="L15" s="176" t="n">
        <v>1.18</v>
      </c>
      <c r="M15" s="176" t="n">
        <v>1.27</v>
      </c>
      <c r="N15" s="176" t="n">
        <v>1</v>
      </c>
      <c r="O15" s="176" t="n">
        <v>1.13</v>
      </c>
      <c r="P15" s="176" t="n">
        <v>1.43</v>
      </c>
      <c r="Q15" s="176" t="n">
        <v>1</v>
      </c>
      <c r="R15" s="176" t="n">
        <v>0.84</v>
      </c>
      <c r="S15" s="176" t="n">
        <v>1.28571428571429</v>
      </c>
      <c r="T15" s="176" t="n">
        <v>1</v>
      </c>
      <c r="U15" s="176" t="n">
        <v>0.96</v>
      </c>
      <c r="V15" s="177" t="n">
        <f aca="false">IFERROR(AVERAGE(G15:U15),0)</f>
        <v>1.07880952380952</v>
      </c>
      <c r="W15" s="177" t="n">
        <f aca="false">IFERROR(AVERAGE(I15:N15),0)</f>
        <v>1.06</v>
      </c>
      <c r="X15" s="176" t="n">
        <f aca="false">IFERROR(AVERAGE(O15:U15),0)</f>
        <v>1.09224489795918</v>
      </c>
      <c r="Y15" s="176" t="n">
        <v>1</v>
      </c>
      <c r="Z15" s="176" t="n">
        <v>1</v>
      </c>
      <c r="AA15" s="176"/>
      <c r="AB15" s="176" t="n">
        <v>1.5</v>
      </c>
      <c r="AC15" s="176" t="n">
        <v>0.81</v>
      </c>
      <c r="AD15" s="176" t="n">
        <v>0.89</v>
      </c>
      <c r="AE15" s="176" t="n">
        <f aca="false">IFERROR(AVERAGE(Y15:AD15),0)</f>
        <v>1.04</v>
      </c>
      <c r="AF15" s="176" t="n">
        <v>0.766666666666667</v>
      </c>
      <c r="AG15" s="176" t="n">
        <v>0.954545454545455</v>
      </c>
      <c r="AH15" s="176" t="n">
        <v>0.76</v>
      </c>
      <c r="AI15" s="176" t="n">
        <v>1.26</v>
      </c>
      <c r="AJ15" s="176" t="n">
        <v>0.894736842105263</v>
      </c>
      <c r="AK15" s="176"/>
      <c r="AL15" s="176" t="n">
        <f aca="false">IFERROR(AVERAGE(AF15:AK15),0)</f>
        <v>0.927189792663477</v>
      </c>
      <c r="AM15" s="176" t="n">
        <v>0.93</v>
      </c>
      <c r="AN15" s="176" t="n">
        <v>3.55</v>
      </c>
      <c r="AO15" s="176" t="n">
        <v>2.71</v>
      </c>
      <c r="AQ15" s="176"/>
      <c r="AR15" s="176"/>
      <c r="AS15" s="176"/>
      <c r="AT15" s="176" t="n">
        <f aca="false">IFERROR(AVERAGE(AM15:AS15),0)</f>
        <v>2.39666666666667</v>
      </c>
    </row>
    <row r="16" customFormat="false" ht="21.75" hidden="false" customHeight="true" outlineLevel="0" collapsed="false">
      <c r="A16" s="30" t="n">
        <v>15</v>
      </c>
      <c r="B16" s="30" t="s">
        <v>162</v>
      </c>
      <c r="C16" s="47" t="s">
        <v>181</v>
      </c>
      <c r="D16" s="47" t="s">
        <v>182</v>
      </c>
      <c r="E16" s="25" t="s">
        <v>166</v>
      </c>
      <c r="F16" s="49" t="s">
        <v>185</v>
      </c>
      <c r="G16" s="176" t="n">
        <v>0.944444444444444</v>
      </c>
      <c r="H16" s="176" t="n">
        <v>1</v>
      </c>
      <c r="I16" s="176" t="n">
        <v>0.738095238095238</v>
      </c>
      <c r="J16" s="176" t="n">
        <v>0.95</v>
      </c>
      <c r="K16" s="176" t="n">
        <v>1.06</v>
      </c>
      <c r="L16" s="176" t="n">
        <v>1</v>
      </c>
      <c r="M16" s="176" t="n">
        <v>0.78</v>
      </c>
      <c r="N16" s="176" t="n">
        <v>1</v>
      </c>
      <c r="O16" s="176" t="n">
        <v>1.08</v>
      </c>
      <c r="P16" s="176" t="n">
        <v>1.1</v>
      </c>
      <c r="Q16" s="176" t="n">
        <v>0.84</v>
      </c>
      <c r="R16" s="176" t="n">
        <v>1.09</v>
      </c>
      <c r="S16" s="176" t="n">
        <v>1.64457831325301</v>
      </c>
      <c r="T16" s="176" t="n">
        <v>1.71428571428571</v>
      </c>
      <c r="U16" s="176" t="n">
        <v>0.882352941176471</v>
      </c>
      <c r="V16" s="177" t="n">
        <f aca="false">IFERROR(AVERAGE(G16:U16),0)</f>
        <v>1.05491711008366</v>
      </c>
      <c r="W16" s="177" t="n">
        <f aca="false">IFERROR(AVERAGE(I16:N16),0)</f>
        <v>0.921349206349206</v>
      </c>
      <c r="X16" s="176" t="n">
        <f aca="false">IFERROR(AVERAGE(O16:U16),0)</f>
        <v>1.19303099553074</v>
      </c>
      <c r="Y16" s="176" t="n">
        <v>1.48</v>
      </c>
      <c r="Z16" s="176" t="n">
        <v>0.97</v>
      </c>
      <c r="AA16" s="176" t="n">
        <v>0.85</v>
      </c>
      <c r="AB16" s="176" t="n">
        <v>0.7</v>
      </c>
      <c r="AC16" s="176" t="n">
        <v>1.03</v>
      </c>
      <c r="AD16" s="176" t="n">
        <v>0.82</v>
      </c>
      <c r="AE16" s="176" t="n">
        <f aca="false">IFERROR(AVERAGE(Y16:AD16),0)</f>
        <v>0.975</v>
      </c>
      <c r="AF16" s="176" t="n">
        <v>1.0625</v>
      </c>
      <c r="AG16" s="176" t="n">
        <v>0.705882352941177</v>
      </c>
      <c r="AH16" s="176" t="n">
        <v>0.85</v>
      </c>
      <c r="AI16" s="176" t="n">
        <v>0.64</v>
      </c>
      <c r="AJ16" s="176" t="n">
        <v>0.916666666666667</v>
      </c>
      <c r="AK16" s="176"/>
      <c r="AL16" s="176" t="n">
        <f aca="false">IFERROR(AVERAGE(AF16:AK16),0)</f>
        <v>0.835009803921569</v>
      </c>
      <c r="AM16" s="176" t="n">
        <v>1.22</v>
      </c>
      <c r="AN16" s="176"/>
      <c r="AO16" s="176"/>
      <c r="AP16" s="176"/>
      <c r="AQ16" s="176"/>
      <c r="AR16" s="176"/>
      <c r="AS16" s="176"/>
      <c r="AT16" s="176" t="n">
        <f aca="false">IFERROR(AVERAGE(AM16:AS16),0)</f>
        <v>1.22</v>
      </c>
    </row>
    <row r="17" customFormat="false" ht="21.75" hidden="false" customHeight="true" outlineLevel="0" collapsed="false">
      <c r="A17" s="30" t="n">
        <v>16</v>
      </c>
      <c r="B17" s="30" t="s">
        <v>162</v>
      </c>
      <c r="C17" s="47" t="s">
        <v>181</v>
      </c>
      <c r="D17" s="47" t="s">
        <v>182</v>
      </c>
      <c r="E17" s="25" t="s">
        <v>166</v>
      </c>
      <c r="F17" s="49" t="s">
        <v>186</v>
      </c>
      <c r="G17" s="176" t="n">
        <v>0.98936170212766</v>
      </c>
      <c r="H17" s="176" t="n">
        <v>1.17333333333333</v>
      </c>
      <c r="I17" s="176" t="n">
        <v>1.02409638554217</v>
      </c>
      <c r="J17" s="176" t="n">
        <v>1.07</v>
      </c>
      <c r="K17" s="176" t="n">
        <v>1.08</v>
      </c>
      <c r="L17" s="176" t="n">
        <v>1.04</v>
      </c>
      <c r="M17" s="176" t="n">
        <v>1.01</v>
      </c>
      <c r="N17" s="176" t="n">
        <v>1.13</v>
      </c>
      <c r="O17" s="176" t="n">
        <v>0.94</v>
      </c>
      <c r="P17" s="176" t="n">
        <v>1.09</v>
      </c>
      <c r="Q17" s="176" t="n">
        <v>1.3</v>
      </c>
      <c r="R17" s="176" t="n">
        <v>1.04</v>
      </c>
      <c r="S17" s="176" t="n">
        <v>1</v>
      </c>
      <c r="T17" s="176" t="n">
        <v>1</v>
      </c>
      <c r="U17" s="176" t="n">
        <v>1.02702702702703</v>
      </c>
      <c r="V17" s="177" t="n">
        <f aca="false">IFERROR(AVERAGE(G17:U17),0)</f>
        <v>1.06092122986868</v>
      </c>
      <c r="W17" s="177" t="n">
        <f aca="false">IFERROR(AVERAGE(I17:N17),0)</f>
        <v>1.05901606425703</v>
      </c>
      <c r="X17" s="176" t="n">
        <f aca="false">IFERROR(AVERAGE(O17:U17),0)</f>
        <v>1.05671814671815</v>
      </c>
      <c r="Y17" s="176" t="n">
        <v>0.93</v>
      </c>
      <c r="Z17" s="176" t="n">
        <v>1.76</v>
      </c>
      <c r="AA17" s="176" t="n">
        <v>1.22</v>
      </c>
      <c r="AB17" s="176" t="n">
        <v>1.05</v>
      </c>
      <c r="AC17" s="176" t="n">
        <v>1</v>
      </c>
      <c r="AD17" s="176"/>
      <c r="AE17" s="176" t="n">
        <f aca="false">IFERROR(AVERAGE(Y17:AD17),0)</f>
        <v>1.192</v>
      </c>
      <c r="AF17" s="176" t="n">
        <v>1</v>
      </c>
      <c r="AG17" s="176" t="n">
        <v>1</v>
      </c>
      <c r="AH17" s="176" t="n">
        <v>0.94</v>
      </c>
      <c r="AI17" s="176" t="n">
        <v>0.97</v>
      </c>
      <c r="AJ17" s="176"/>
      <c r="AK17" s="176"/>
      <c r="AL17" s="176" t="n">
        <f aca="false">IFERROR(AVERAGE(AF17:AK17),0)</f>
        <v>0.9775</v>
      </c>
      <c r="AM17" s="176"/>
      <c r="AN17" s="176"/>
      <c r="AO17" s="176"/>
      <c r="AP17" s="176"/>
      <c r="AQ17" s="176"/>
      <c r="AR17" s="176"/>
      <c r="AS17" s="176"/>
      <c r="AT17" s="178"/>
    </row>
    <row r="18" customFormat="false" ht="21.75" hidden="false" customHeight="true" outlineLevel="0" collapsed="false">
      <c r="A18" s="30" t="n">
        <v>17</v>
      </c>
      <c r="B18" s="30" t="s">
        <v>162</v>
      </c>
      <c r="C18" s="47" t="s">
        <v>188</v>
      </c>
      <c r="D18" s="174" t="s">
        <v>189</v>
      </c>
      <c r="E18" s="25" t="s">
        <v>166</v>
      </c>
      <c r="F18" s="52" t="s">
        <v>190</v>
      </c>
      <c r="G18" s="176" t="n">
        <v>0.941176470588235</v>
      </c>
      <c r="H18" s="176" t="n">
        <v>1.05882352941176</v>
      </c>
      <c r="I18" s="176" t="n">
        <v>0.90625</v>
      </c>
      <c r="J18" s="176" t="n">
        <v>1.13513513513514</v>
      </c>
      <c r="K18" s="176" t="n">
        <v>0.928571428571429</v>
      </c>
      <c r="L18" s="176" t="n">
        <v>0.919354838709677</v>
      </c>
      <c r="M18" s="176" t="n">
        <v>0.914893617021277</v>
      </c>
      <c r="N18" s="176" t="n">
        <v>0.918032786885246</v>
      </c>
      <c r="O18" s="176" t="n">
        <v>1.06</v>
      </c>
      <c r="P18" s="176" t="n">
        <v>0.95</v>
      </c>
      <c r="Q18" s="176" t="n">
        <v>1.04</v>
      </c>
      <c r="R18" s="176" t="n">
        <v>0.96</v>
      </c>
      <c r="S18" s="176" t="n">
        <v>1.03508771929825</v>
      </c>
      <c r="T18" s="176" t="n">
        <v>1</v>
      </c>
      <c r="U18" s="176" t="n">
        <v>1</v>
      </c>
      <c r="V18" s="177" t="n">
        <f aca="false">IFERROR(AVERAGE(G18:U18),0)</f>
        <v>0.984488368374734</v>
      </c>
      <c r="W18" s="177" t="n">
        <f aca="false">IFERROR(AVERAGE(I18:N18),0)</f>
        <v>0.953706301053795</v>
      </c>
      <c r="X18" s="176" t="n">
        <f aca="false">IFERROR(AVERAGE(O18:U18),0)</f>
        <v>1.00644110275689</v>
      </c>
      <c r="Y18" s="176" t="n">
        <v>1.23</v>
      </c>
      <c r="Z18" s="176" t="n">
        <v>1.04</v>
      </c>
      <c r="AA18" s="176" t="n">
        <v>0.98</v>
      </c>
      <c r="AB18" s="176" t="n">
        <v>1.01</v>
      </c>
      <c r="AC18" s="176" t="n">
        <v>1</v>
      </c>
      <c r="AD18" s="176" t="n">
        <v>1</v>
      </c>
      <c r="AE18" s="176" t="n">
        <f aca="false">IFERROR(AVERAGE(Y18:AD18),0)</f>
        <v>1.04333333333333</v>
      </c>
      <c r="AF18" s="176" t="n">
        <v>1.10344827586207</v>
      </c>
      <c r="AG18" s="176" t="n">
        <v>1</v>
      </c>
      <c r="AH18" s="176" t="n">
        <v>1.02</v>
      </c>
      <c r="AI18" s="176" t="n">
        <v>0.92</v>
      </c>
      <c r="AJ18" s="176" t="n">
        <v>1</v>
      </c>
      <c r="AK18" s="176" t="n">
        <v>1</v>
      </c>
      <c r="AL18" s="176" t="n">
        <f aca="false">IFERROR(AVERAGE(AF18:AK18),0)</f>
        <v>1.00724137931035</v>
      </c>
      <c r="AM18" s="176" t="n">
        <v>0.96</v>
      </c>
      <c r="AN18" s="176" t="n">
        <v>1</v>
      </c>
      <c r="AO18" s="176" t="n">
        <v>1</v>
      </c>
      <c r="AP18" s="176"/>
      <c r="AQ18" s="176"/>
      <c r="AR18" s="176"/>
      <c r="AS18" s="176"/>
      <c r="AT18" s="176" t="n">
        <f aca="false">IFERROR(AVERAGE(AM18:AS18),0)</f>
        <v>0.986666666666667</v>
      </c>
    </row>
    <row r="19" customFormat="false" ht="21.75" hidden="false" customHeight="true" outlineLevel="0" collapsed="false">
      <c r="A19" s="30" t="n">
        <v>18</v>
      </c>
      <c r="B19" s="30" t="s">
        <v>162</v>
      </c>
      <c r="C19" s="47" t="s">
        <v>188</v>
      </c>
      <c r="D19" s="174" t="s">
        <v>189</v>
      </c>
      <c r="E19" s="25" t="s">
        <v>166</v>
      </c>
      <c r="F19" s="52" t="s">
        <v>191</v>
      </c>
      <c r="G19" s="176" t="n">
        <v>2.45</v>
      </c>
      <c r="H19" s="176" t="n">
        <v>0.986486486486487</v>
      </c>
      <c r="I19" s="176" t="n">
        <v>0.907894736842105</v>
      </c>
      <c r="J19" s="176" t="n">
        <v>0.974358974358974</v>
      </c>
      <c r="K19" s="176" t="n">
        <v>0.988095238095238</v>
      </c>
      <c r="L19" s="176" t="n">
        <v>0.972222222222222</v>
      </c>
      <c r="M19" s="176" t="n">
        <v>0.91304347826087</v>
      </c>
      <c r="N19" s="176" t="n">
        <v>0.936708860759494</v>
      </c>
      <c r="O19" s="176" t="n">
        <v>1</v>
      </c>
      <c r="P19" s="176" t="n">
        <v>0.99</v>
      </c>
      <c r="Q19" s="176" t="n">
        <v>1.04</v>
      </c>
      <c r="R19" s="176" t="n">
        <v>0.99</v>
      </c>
      <c r="S19" s="176" t="n">
        <v>1.01515151515152</v>
      </c>
      <c r="T19" s="176" t="n">
        <v>0.930555555555556</v>
      </c>
      <c r="U19" s="176" t="n">
        <v>0.88135593220339</v>
      </c>
      <c r="V19" s="177" t="n">
        <f aca="false">IFERROR(AVERAGE(G19:U19),0)</f>
        <v>1.06505819999572</v>
      </c>
      <c r="W19" s="177" t="n">
        <f aca="false">IFERROR(AVERAGE(I19:N19),0)</f>
        <v>0.948720585089817</v>
      </c>
      <c r="X19" s="176" t="n">
        <f aca="false">IFERROR(AVERAGE(O19:U19),0)</f>
        <v>0.978151857558638</v>
      </c>
      <c r="Y19" s="176" t="n">
        <v>1</v>
      </c>
      <c r="Z19" s="176" t="n">
        <v>1</v>
      </c>
      <c r="AA19" s="176" t="n">
        <v>1.03</v>
      </c>
      <c r="AB19" s="176" t="n">
        <v>1</v>
      </c>
      <c r="AC19" s="176" t="n">
        <v>0.99</v>
      </c>
      <c r="AD19" s="176" t="n">
        <v>1</v>
      </c>
      <c r="AE19" s="176" t="n">
        <f aca="false">IFERROR(AVERAGE(Y19:AD19),0)</f>
        <v>1.00333333333333</v>
      </c>
      <c r="AF19" s="176" t="n">
        <v>0.985507246376812</v>
      </c>
      <c r="AG19" s="176" t="n">
        <v>0.897058823529412</v>
      </c>
      <c r="AH19" s="176" t="n">
        <v>0.92</v>
      </c>
      <c r="AI19" s="176" t="n">
        <v>0.97</v>
      </c>
      <c r="AJ19" s="176" t="n">
        <v>0.975</v>
      </c>
      <c r="AK19" s="176" t="n">
        <v>0.914634146341463</v>
      </c>
      <c r="AL19" s="176" t="n">
        <f aca="false">IFERROR(AVERAGE(AF19:AK19),0)</f>
        <v>0.943700036041281</v>
      </c>
      <c r="AM19" s="176" t="n">
        <v>0.96</v>
      </c>
      <c r="AN19" s="176" t="n">
        <v>0.9</v>
      </c>
      <c r="AO19" s="176" t="n">
        <v>0.93</v>
      </c>
      <c r="AP19" s="176"/>
      <c r="AQ19" s="176"/>
      <c r="AR19" s="176"/>
      <c r="AS19" s="176"/>
      <c r="AT19" s="176" t="n">
        <f aca="false">IFERROR(AVERAGE(AM19:AS19),0)</f>
        <v>0.93</v>
      </c>
    </row>
    <row r="20" customFormat="false" ht="21.75" hidden="false" customHeight="true" outlineLevel="0" collapsed="false">
      <c r="A20" s="30" t="n">
        <v>19</v>
      </c>
      <c r="B20" s="30" t="s">
        <v>162</v>
      </c>
      <c r="C20" s="47" t="s">
        <v>188</v>
      </c>
      <c r="D20" s="174" t="s">
        <v>189</v>
      </c>
      <c r="E20" s="25" t="s">
        <v>166</v>
      </c>
      <c r="F20" s="53" t="s">
        <v>192</v>
      </c>
      <c r="G20" s="176" t="n">
        <v>0.97323600973236</v>
      </c>
      <c r="H20" s="176" t="n">
        <v>0.875</v>
      </c>
      <c r="I20" s="176" t="n">
        <v>0.92</v>
      </c>
      <c r="J20" s="176" t="n">
        <v>1</v>
      </c>
      <c r="K20" s="176" t="n">
        <v>0.886792452830189</v>
      </c>
      <c r="L20" s="176" t="n">
        <v>1</v>
      </c>
      <c r="M20" s="176" t="n">
        <v>0.932203389830508</v>
      </c>
      <c r="N20" s="176" t="n">
        <v>1.03846153846154</v>
      </c>
      <c r="O20" s="176" t="n">
        <v>0.93</v>
      </c>
      <c r="P20" s="176" t="n">
        <v>0.94</v>
      </c>
      <c r="Q20" s="176" t="n">
        <v>0.92</v>
      </c>
      <c r="R20" s="176" t="n">
        <v>0.71</v>
      </c>
      <c r="S20" s="176" t="n">
        <v>0.943396226415094</v>
      </c>
      <c r="T20" s="176" t="n">
        <v>0.859649122807018</v>
      </c>
      <c r="U20" s="176" t="n">
        <v>0.944444444444444</v>
      </c>
      <c r="V20" s="177" t="n">
        <f aca="false">IFERROR(AVERAGE(G20:U20),0)</f>
        <v>0.924878878968077</v>
      </c>
      <c r="W20" s="177" t="n">
        <f aca="false">IFERROR(AVERAGE(I20:N20),0)</f>
        <v>0.962909563520373</v>
      </c>
      <c r="X20" s="176" t="n">
        <f aca="false">IFERROR(AVERAGE(O20:U20),0)</f>
        <v>0.892498541952365</v>
      </c>
      <c r="Y20" s="176" t="n">
        <v>0.97</v>
      </c>
      <c r="Z20" s="176" t="n">
        <v>0.88</v>
      </c>
      <c r="AA20" s="176" t="n">
        <v>1.02</v>
      </c>
      <c r="AB20" s="176" t="n">
        <v>0.95</v>
      </c>
      <c r="AC20" s="176" t="n">
        <v>1.03</v>
      </c>
      <c r="AD20" s="176" t="n">
        <v>0.9</v>
      </c>
      <c r="AE20" s="176" t="n">
        <f aca="false">IFERROR(AVERAGE(Y20:AD20),0)</f>
        <v>0.958333333333333</v>
      </c>
      <c r="AF20" s="176" t="n">
        <v>1.05357142857143</v>
      </c>
      <c r="AG20" s="176" t="n">
        <v>0.906396255850234</v>
      </c>
      <c r="AH20" s="176" t="n">
        <v>0.97</v>
      </c>
      <c r="AI20" s="176" t="n">
        <v>0.93</v>
      </c>
      <c r="AJ20" s="176" t="n">
        <v>0.818181818181818</v>
      </c>
      <c r="AK20" s="176" t="n">
        <v>1.14285714285714</v>
      </c>
      <c r="AL20" s="176" t="n">
        <f aca="false">IFERROR(AVERAGE(AF20:AK20),0)</f>
        <v>0.970167774243437</v>
      </c>
      <c r="AM20" s="176" t="n">
        <v>0.97</v>
      </c>
      <c r="AN20" s="176" t="n">
        <v>0.98</v>
      </c>
      <c r="AO20" s="176" t="n">
        <v>1.02</v>
      </c>
      <c r="AP20" s="176"/>
      <c r="AQ20" s="176"/>
      <c r="AR20" s="176"/>
      <c r="AS20" s="176"/>
      <c r="AT20" s="176" t="n">
        <f aca="false">IFERROR(AVERAGE(AM20:AS20),0)</f>
        <v>0.99</v>
      </c>
    </row>
    <row r="21" customFormat="false" ht="21.75" hidden="false" customHeight="true" outlineLevel="0" collapsed="false">
      <c r="A21" s="30" t="n">
        <v>20</v>
      </c>
      <c r="B21" s="30" t="s">
        <v>162</v>
      </c>
      <c r="C21" s="47" t="s">
        <v>188</v>
      </c>
      <c r="D21" s="174" t="s">
        <v>193</v>
      </c>
      <c r="E21" s="25" t="s">
        <v>166</v>
      </c>
      <c r="F21" s="49" t="s">
        <v>194</v>
      </c>
      <c r="G21" s="176" t="n">
        <v>1.31481481481481</v>
      </c>
      <c r="H21" s="176" t="n">
        <v>0.830769230769231</v>
      </c>
      <c r="I21" s="176" t="n">
        <v>0.788732394366197</v>
      </c>
      <c r="J21" s="176" t="n">
        <v>0.814285714285714</v>
      </c>
      <c r="K21" s="176" t="n">
        <v>0.907407407407407</v>
      </c>
      <c r="L21" s="176" t="n">
        <v>0.777777777777778</v>
      </c>
      <c r="M21" s="175" t="n">
        <v>1.01666666666667</v>
      </c>
      <c r="N21" s="175" t="n">
        <v>0.948275862068966</v>
      </c>
      <c r="O21" s="175" t="n">
        <v>0.948275862068966</v>
      </c>
      <c r="P21" s="175" t="n">
        <v>0.941176470588235</v>
      </c>
      <c r="Q21" s="175" t="n">
        <v>0.86</v>
      </c>
      <c r="R21" s="176" t="n">
        <v>0.96</v>
      </c>
      <c r="S21" s="176" t="n">
        <v>0.91</v>
      </c>
      <c r="T21" s="176" t="n">
        <v>0.9</v>
      </c>
      <c r="U21" s="176" t="n">
        <v>0.73</v>
      </c>
      <c r="V21" s="177" t="n">
        <f aca="false">IFERROR(AVERAGE(G21:U21),0)</f>
        <v>0.909878813387598</v>
      </c>
      <c r="W21" s="177" t="n">
        <f aca="false">IFERROR(AVERAGE(I21:N21),0)</f>
        <v>0.875524303762122</v>
      </c>
      <c r="X21" s="176" t="n">
        <f aca="false">IFERROR(AVERAGE(O21:U21),0)</f>
        <v>0.892778904665314</v>
      </c>
      <c r="Y21" s="176" t="n">
        <v>0.98</v>
      </c>
      <c r="Z21" s="176" t="n">
        <v>1</v>
      </c>
      <c r="AA21" s="176" t="n">
        <v>0.96</v>
      </c>
      <c r="AB21" s="176" t="n">
        <v>0.88</v>
      </c>
      <c r="AC21" s="176" t="n">
        <v>1.05</v>
      </c>
      <c r="AD21" s="176" t="n">
        <v>1</v>
      </c>
      <c r="AE21" s="176" t="n">
        <f aca="false">IFERROR(AVERAGE(Y21:AD21),0)</f>
        <v>0.978333333333333</v>
      </c>
      <c r="AF21" s="176" t="n">
        <v>1</v>
      </c>
      <c r="AG21" s="176" t="n">
        <v>0.923076923076923</v>
      </c>
      <c r="AH21" s="176" t="n">
        <v>0.88</v>
      </c>
      <c r="AI21" s="176"/>
      <c r="AJ21" s="176" t="n">
        <v>1</v>
      </c>
      <c r="AK21" s="176"/>
      <c r="AL21" s="176" t="n">
        <f aca="false">IFERROR(AVERAGE(AF21:AK21),0)</f>
        <v>0.950769230769231</v>
      </c>
      <c r="AM21" s="176" t="n">
        <v>1</v>
      </c>
      <c r="AN21" s="176" t="n">
        <v>0.93</v>
      </c>
      <c r="AO21" s="176"/>
      <c r="AP21" s="176"/>
      <c r="AQ21" s="176"/>
      <c r="AR21" s="176"/>
      <c r="AS21" s="176"/>
      <c r="AT21" s="176" t="n">
        <f aca="false">IFERROR(AVERAGE(AM21:AS21),0)</f>
        <v>0.965</v>
      </c>
    </row>
    <row r="22" customFormat="false" ht="24" hidden="false" customHeight="true" outlineLevel="0" collapsed="false">
      <c r="A22" s="30" t="n">
        <v>21</v>
      </c>
      <c r="B22" s="30" t="s">
        <v>162</v>
      </c>
      <c r="C22" s="47" t="s">
        <v>163</v>
      </c>
      <c r="D22" s="174" t="s">
        <v>164</v>
      </c>
      <c r="E22" s="25" t="s">
        <v>176</v>
      </c>
      <c r="F22" s="162" t="s">
        <v>195</v>
      </c>
      <c r="G22" s="175"/>
      <c r="H22" s="175"/>
      <c r="I22" s="175"/>
      <c r="J22" s="175"/>
      <c r="K22" s="176" t="n">
        <v>0.263157894736842</v>
      </c>
      <c r="L22" s="176" t="n">
        <v>1.28</v>
      </c>
      <c r="M22" s="176" t="n">
        <v>1.22222222222222</v>
      </c>
      <c r="N22" s="176" t="n">
        <v>1.04761904761905</v>
      </c>
      <c r="O22" s="176" t="n">
        <v>1.06666666666667</v>
      </c>
      <c r="P22" s="176" t="n">
        <v>1</v>
      </c>
      <c r="Q22" s="176" t="n">
        <v>0.86</v>
      </c>
      <c r="R22" s="176" t="n">
        <v>2.1</v>
      </c>
      <c r="S22" s="176" t="n">
        <v>2.7</v>
      </c>
      <c r="T22" s="176" t="n">
        <v>1.18181818181818</v>
      </c>
      <c r="U22" s="176" t="n">
        <v>2</v>
      </c>
      <c r="V22" s="177" t="n">
        <f aca="false">IFERROR(AVERAGE(G22:U22),0)</f>
        <v>1.33831672846027</v>
      </c>
      <c r="W22" s="177" t="n">
        <f aca="false">IFERROR(AVERAGE(I22:N22),0)</f>
        <v>0.953249791144528</v>
      </c>
      <c r="X22" s="176" t="n">
        <f aca="false">IFERROR(AVERAGE(O22:U22),0)</f>
        <v>1.55835497835498</v>
      </c>
      <c r="Y22" s="178"/>
      <c r="Z22" s="178"/>
      <c r="AA22" s="178"/>
      <c r="AB22" s="178"/>
      <c r="AC22" s="178"/>
      <c r="AD22" s="178"/>
      <c r="AE22" s="178"/>
      <c r="AF22" s="178"/>
      <c r="AG22" s="178"/>
      <c r="AH22" s="178"/>
      <c r="AI22" s="178"/>
      <c r="AJ22" s="178"/>
      <c r="AK22" s="178"/>
      <c r="AL22" s="178" t="n">
        <f aca="false">IFERROR(AVERAGE(AF22:AK22),0)</f>
        <v>0</v>
      </c>
      <c r="AM22" s="178"/>
      <c r="AN22" s="178"/>
      <c r="AO22" s="178"/>
      <c r="AP22" s="178"/>
      <c r="AQ22" s="178"/>
      <c r="AR22" s="178"/>
      <c r="AS22" s="178"/>
      <c r="AT22" s="178"/>
    </row>
    <row r="23" customFormat="false" ht="21.75" hidden="false" customHeight="true" outlineLevel="0" collapsed="false">
      <c r="A23" s="30" t="n">
        <v>22</v>
      </c>
      <c r="B23" s="30" t="s">
        <v>162</v>
      </c>
      <c r="C23" s="47" t="s">
        <v>188</v>
      </c>
      <c r="D23" s="179" t="s">
        <v>196</v>
      </c>
      <c r="E23" s="25" t="s">
        <v>166</v>
      </c>
      <c r="F23" s="180" t="s">
        <v>197</v>
      </c>
      <c r="G23" s="175"/>
      <c r="H23" s="175"/>
      <c r="I23" s="175"/>
      <c r="J23" s="175"/>
      <c r="K23" s="175"/>
      <c r="L23" s="175"/>
      <c r="M23" s="175"/>
      <c r="N23" s="175"/>
      <c r="O23" s="181" t="n">
        <v>1</v>
      </c>
      <c r="P23" s="181" t="n">
        <v>1</v>
      </c>
      <c r="Q23" s="181" t="n">
        <v>1</v>
      </c>
      <c r="R23" s="176" t="n">
        <v>1</v>
      </c>
      <c r="S23" s="176" t="n">
        <v>1</v>
      </c>
      <c r="T23" s="176" t="n">
        <v>1</v>
      </c>
      <c r="U23" s="176" t="n">
        <v>1</v>
      </c>
      <c r="V23" s="177" t="n">
        <f aca="false">IFERROR(AVERAGE(G23:U23),0)</f>
        <v>1</v>
      </c>
      <c r="W23" s="177"/>
      <c r="X23" s="176" t="n">
        <f aca="false">IFERROR(AVERAGE(O23:U23),0)</f>
        <v>1</v>
      </c>
      <c r="Y23" s="176" t="n">
        <v>1</v>
      </c>
      <c r="Z23" s="176" t="n">
        <v>1</v>
      </c>
      <c r="AA23" s="176" t="n">
        <v>1</v>
      </c>
      <c r="AB23" s="176" t="n">
        <v>0.88</v>
      </c>
      <c r="AC23" s="176" t="n">
        <v>1</v>
      </c>
      <c r="AD23" s="176" t="n">
        <v>1</v>
      </c>
      <c r="AE23" s="176" t="n">
        <f aca="false">IFERROR(AVERAGE(Y23:AD23),0)</f>
        <v>0.98</v>
      </c>
      <c r="AF23" s="176" t="n">
        <v>1</v>
      </c>
      <c r="AG23" s="176" t="n">
        <v>1</v>
      </c>
      <c r="AH23" s="176" t="n">
        <v>1</v>
      </c>
      <c r="AI23" s="176" t="n">
        <v>1</v>
      </c>
      <c r="AJ23" s="176" t="n">
        <v>1</v>
      </c>
      <c r="AK23" s="176" t="n">
        <v>1</v>
      </c>
      <c r="AL23" s="176" t="n">
        <f aca="false">IFERROR(AVERAGE(AF23:AK23),0)</f>
        <v>1</v>
      </c>
      <c r="AM23" s="176" t="n">
        <v>0.95</v>
      </c>
      <c r="AN23" s="176" t="n">
        <v>1</v>
      </c>
      <c r="AO23" s="176" t="n">
        <v>1</v>
      </c>
      <c r="AP23" s="176"/>
      <c r="AQ23" s="176"/>
      <c r="AR23" s="176"/>
      <c r="AS23" s="176"/>
      <c r="AT23" s="176" t="n">
        <f aca="false">IFERROR(AVERAGE(AM23:AS23),0)</f>
        <v>0.983333333333333</v>
      </c>
    </row>
    <row r="24" customFormat="false" ht="21.75" hidden="false" customHeight="true" outlineLevel="0" collapsed="false">
      <c r="A24" s="30" t="n">
        <v>23</v>
      </c>
      <c r="B24" s="30" t="s">
        <v>162</v>
      </c>
      <c r="C24" s="47" t="s">
        <v>188</v>
      </c>
      <c r="D24" s="179" t="s">
        <v>196</v>
      </c>
      <c r="E24" s="25" t="s">
        <v>166</v>
      </c>
      <c r="F24" s="180" t="s">
        <v>198</v>
      </c>
      <c r="G24" s="175"/>
      <c r="H24" s="175"/>
      <c r="I24" s="175"/>
      <c r="J24" s="175"/>
      <c r="K24" s="175"/>
      <c r="L24" s="175"/>
      <c r="M24" s="175"/>
      <c r="N24" s="175"/>
      <c r="O24" s="181" t="n">
        <v>1</v>
      </c>
      <c r="P24" s="181" t="n">
        <v>1</v>
      </c>
      <c r="Q24" s="181" t="n">
        <v>2.125</v>
      </c>
      <c r="R24" s="176" t="n">
        <v>1.04</v>
      </c>
      <c r="S24" s="176" t="n">
        <v>1.64</v>
      </c>
      <c r="T24" s="176" t="n">
        <v>0</v>
      </c>
      <c r="U24" s="176" t="n">
        <v>1</v>
      </c>
      <c r="V24" s="177" t="n">
        <f aca="false">IFERROR(AVERAGE(G24:U24),0)</f>
        <v>1.115</v>
      </c>
      <c r="W24" s="177"/>
      <c r="X24" s="176" t="n">
        <f aca="false">IFERROR(AVERAGE(O24:U24),0)</f>
        <v>1.115</v>
      </c>
      <c r="Y24" s="176" t="n">
        <v>1</v>
      </c>
      <c r="Z24" s="176" t="n">
        <v>1</v>
      </c>
      <c r="AA24" s="176" t="n">
        <v>1</v>
      </c>
      <c r="AB24" s="176" t="n">
        <v>1.03</v>
      </c>
      <c r="AC24" s="176" t="n">
        <v>1</v>
      </c>
      <c r="AD24" s="176" t="n">
        <v>1</v>
      </c>
      <c r="AE24" s="176" t="n">
        <f aca="false">IFERROR(AVERAGE(Y24:AD24),0)</f>
        <v>1.005</v>
      </c>
      <c r="AF24" s="176" t="n">
        <v>1</v>
      </c>
      <c r="AG24" s="176" t="n">
        <v>1.33333333333333</v>
      </c>
      <c r="AH24" s="176" t="n">
        <v>1</v>
      </c>
      <c r="AI24" s="176" t="n">
        <v>1</v>
      </c>
      <c r="AJ24" s="176" t="n">
        <v>1</v>
      </c>
      <c r="AK24" s="176" t="n">
        <v>1</v>
      </c>
      <c r="AL24" s="176" t="n">
        <f aca="false">IFERROR(AVERAGE(AF24:AK24),0)</f>
        <v>1.05555555555556</v>
      </c>
      <c r="AM24" s="176" t="n">
        <v>0.84</v>
      </c>
      <c r="AN24" s="176" t="n">
        <v>1</v>
      </c>
      <c r="AO24" s="176" t="n">
        <v>0.82</v>
      </c>
      <c r="AP24" s="176"/>
      <c r="AQ24" s="176"/>
      <c r="AR24" s="176"/>
      <c r="AS24" s="176"/>
      <c r="AT24" s="176" t="n">
        <f aca="false">IFERROR(AVERAGE(AM24:AS24),0)</f>
        <v>0.886666666666667</v>
      </c>
    </row>
    <row r="25" customFormat="false" ht="21.75" hidden="false" customHeight="true" outlineLevel="0" collapsed="false">
      <c r="A25" s="30" t="n">
        <v>24</v>
      </c>
      <c r="B25" s="30" t="s">
        <v>162</v>
      </c>
      <c r="C25" s="47" t="s">
        <v>188</v>
      </c>
      <c r="D25" s="179" t="s">
        <v>196</v>
      </c>
      <c r="E25" s="25" t="s">
        <v>166</v>
      </c>
      <c r="F25" s="180" t="s">
        <v>199</v>
      </c>
      <c r="G25" s="182"/>
      <c r="H25" s="182"/>
      <c r="I25" s="182"/>
      <c r="J25" s="182"/>
      <c r="K25" s="182"/>
      <c r="L25" s="182"/>
      <c r="M25" s="182"/>
      <c r="N25" s="182"/>
      <c r="O25" s="178"/>
      <c r="P25" s="178"/>
      <c r="Q25" s="178"/>
      <c r="R25" s="178"/>
      <c r="S25" s="178"/>
      <c r="T25" s="178"/>
      <c r="U25" s="178"/>
      <c r="V25" s="183"/>
      <c r="W25" s="183"/>
      <c r="X25" s="178"/>
      <c r="Y25" s="182"/>
      <c r="Z25" s="182"/>
      <c r="AA25" s="178"/>
      <c r="AB25" s="178"/>
      <c r="AC25" s="178"/>
      <c r="AD25" s="178"/>
      <c r="AE25" s="178"/>
      <c r="AF25" s="178" t="n">
        <v>1</v>
      </c>
      <c r="AG25" s="178"/>
      <c r="AH25" s="178"/>
      <c r="AI25" s="178"/>
      <c r="AJ25" s="178"/>
      <c r="AK25" s="178"/>
      <c r="AL25" s="178" t="n">
        <f aca="false">IFERROR(AVERAGE(AF25:AK25),0)</f>
        <v>1</v>
      </c>
      <c r="AM25" s="178"/>
      <c r="AN25" s="178"/>
      <c r="AO25" s="178"/>
      <c r="AP25" s="178"/>
      <c r="AQ25" s="178"/>
      <c r="AR25" s="178"/>
      <c r="AS25" s="178"/>
      <c r="AT25" s="178"/>
    </row>
    <row r="26" customFormat="false" ht="21.75" hidden="false" customHeight="true" outlineLevel="0" collapsed="false">
      <c r="A26" s="30" t="n">
        <v>25</v>
      </c>
      <c r="B26" s="30" t="s">
        <v>162</v>
      </c>
      <c r="C26" s="47" t="s">
        <v>181</v>
      </c>
      <c r="D26" s="47" t="s">
        <v>182</v>
      </c>
      <c r="E26" s="25" t="s">
        <v>166</v>
      </c>
      <c r="F26" s="49" t="s">
        <v>184</v>
      </c>
      <c r="G26" s="176"/>
      <c r="H26" s="176"/>
      <c r="I26" s="176"/>
      <c r="J26" s="176"/>
      <c r="K26" s="176"/>
      <c r="L26" s="176"/>
      <c r="M26" s="176"/>
      <c r="N26" s="176"/>
      <c r="O26" s="176"/>
      <c r="P26" s="176"/>
      <c r="Q26" s="176"/>
      <c r="R26" s="176"/>
      <c r="S26" s="176"/>
      <c r="T26" s="176"/>
      <c r="U26" s="176"/>
      <c r="V26" s="177"/>
      <c r="W26" s="177"/>
      <c r="X26" s="176"/>
      <c r="Y26" s="176"/>
      <c r="Z26" s="176"/>
      <c r="AA26" s="176"/>
      <c r="AB26" s="176"/>
      <c r="AC26" s="176"/>
      <c r="AD26" s="176"/>
      <c r="AE26" s="176"/>
      <c r="AF26" s="176"/>
      <c r="AG26" s="176" t="n">
        <v>2</v>
      </c>
      <c r="AH26" s="176" t="n">
        <v>0.38</v>
      </c>
      <c r="AI26" s="176" t="n">
        <v>1.06</v>
      </c>
      <c r="AJ26" s="176" t="n">
        <v>0.9375</v>
      </c>
      <c r="AK26" s="176"/>
      <c r="AL26" s="176" t="n">
        <f aca="false">IFERROR(AVERAGE(AF26:AK26),0)</f>
        <v>1.094375</v>
      </c>
      <c r="AM26" s="176" t="n">
        <v>0.93</v>
      </c>
      <c r="AN26" s="176"/>
      <c r="AO26" s="176"/>
      <c r="AP26" s="176"/>
      <c r="AQ26" s="176"/>
      <c r="AR26" s="176"/>
      <c r="AS26" s="176"/>
      <c r="AT26" s="176" t="n">
        <f aca="false">IFERROR(AVERAGE(AM26:AS26),0)</f>
        <v>0.93</v>
      </c>
    </row>
    <row r="27" customFormat="false" ht="14.25" hidden="false" customHeight="true" outlineLevel="0" collapsed="false">
      <c r="Y27" s="184"/>
      <c r="Z27" s="184"/>
      <c r="AA27" s="184"/>
      <c r="AB27" s="184"/>
      <c r="AC27" s="184"/>
      <c r="AD27" s="184"/>
      <c r="AE27" s="184"/>
      <c r="AL27" s="184"/>
      <c r="AT27" s="184"/>
    </row>
  </sheetData>
  <autoFilter ref="A1:AT2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5" activeCellId="0" sqref="A5"/>
    </sheetView>
  </sheetViews>
  <sheetFormatPr defaultColWidth="8.5390625" defaultRowHeight="14.25" zeroHeight="false" outlineLevelRow="0" outlineLevelCol="0"/>
  <cols>
    <col collapsed="false" customWidth="true" hidden="false" outlineLevel="0" max="1" min="1" style="1" width="17.18"/>
    <col collapsed="false" customWidth="true" hidden="false" outlineLevel="0" max="2" min="2" style="1" width="14"/>
    <col collapsed="false" customWidth="true" hidden="false" outlineLevel="0" max="3" min="3" style="1" width="11.91"/>
    <col collapsed="false" customWidth="true" hidden="false" outlineLevel="0" max="4" min="4" style="1" width="12.54"/>
    <col collapsed="false" customWidth="true" hidden="false" outlineLevel="0" max="5" min="5" style="1" width="13.63"/>
    <col collapsed="false" customWidth="true" hidden="false" outlineLevel="0" max="6" min="6" style="1" width="69.91"/>
  </cols>
  <sheetData>
    <row r="1" customFormat="false" ht="14.25" hidden="false" customHeight="true" outlineLevel="0" collapsed="false">
      <c r="A1" s="1" t="s">
        <v>123</v>
      </c>
      <c r="B1" s="73" t="s">
        <v>205</v>
      </c>
    </row>
    <row r="2" customFormat="false" ht="14.25" hidden="false" customHeight="true" outlineLevel="0" collapsed="false">
      <c r="A2" s="1" t="s">
        <v>126</v>
      </c>
      <c r="B2" s="73" t="s">
        <v>166</v>
      </c>
    </row>
    <row r="4" customFormat="false" ht="14.25" hidden="false" customHeight="true" outlineLevel="0" collapsed="false">
      <c r="A4" s="75" t="s">
        <v>208</v>
      </c>
      <c r="B4" s="76" t="s">
        <v>210</v>
      </c>
      <c r="C4" s="77" t="s">
        <v>211</v>
      </c>
      <c r="D4" s="77" t="s">
        <v>322</v>
      </c>
      <c r="E4" s="78" t="s">
        <v>323</v>
      </c>
    </row>
    <row r="5" customFormat="false" ht="14.25" hidden="false" customHeight="true" outlineLevel="0" collapsed="false">
      <c r="A5" s="166" t="s">
        <v>196</v>
      </c>
      <c r="B5" s="74" t="n">
        <v>1.0575</v>
      </c>
      <c r="C5" s="185" t="n">
        <v>0.9925</v>
      </c>
      <c r="D5" s="185" t="n">
        <v>1.01851851851852</v>
      </c>
      <c r="E5" s="186" t="n">
        <v>0.935</v>
      </c>
    </row>
    <row r="6" customFormat="false" ht="14.25" hidden="false" customHeight="true" outlineLevel="0" collapsed="false">
      <c r="A6" s="166" t="s">
        <v>164</v>
      </c>
      <c r="B6" s="74" t="n">
        <v>1.24260428845708</v>
      </c>
      <c r="C6" s="185" t="n">
        <v>1.18018518518519</v>
      </c>
      <c r="D6" s="185" t="n">
        <v>1.18612149824298</v>
      </c>
      <c r="E6" s="186" t="n">
        <v>1.00555555555556</v>
      </c>
    </row>
    <row r="7" customFormat="false" ht="14.25" hidden="false" customHeight="true" outlineLevel="0" collapsed="false">
      <c r="A7" s="166" t="s">
        <v>193</v>
      </c>
      <c r="B7" s="74" t="n">
        <v>0.892778904665314</v>
      </c>
      <c r="C7" s="185" t="n">
        <v>0.978333333333333</v>
      </c>
      <c r="D7" s="185" t="n">
        <v>0.950769230769231</v>
      </c>
      <c r="E7" s="186" t="n">
        <v>0.965</v>
      </c>
    </row>
    <row r="8" customFormat="false" ht="14.25" hidden="false" customHeight="true" outlineLevel="0" collapsed="false">
      <c r="A8" s="166" t="s">
        <v>182</v>
      </c>
      <c r="B8" s="74" t="n">
        <v>1.04957749443834</v>
      </c>
      <c r="C8" s="185" t="n">
        <v>1.018</v>
      </c>
      <c r="D8" s="185" t="n">
        <v>0.929305828407918</v>
      </c>
      <c r="E8" s="186" t="n">
        <v>1.36333333333333</v>
      </c>
    </row>
    <row r="9" customFormat="false" ht="14.25" hidden="false" customHeight="true" outlineLevel="0" collapsed="false">
      <c r="A9" s="166" t="s">
        <v>168</v>
      </c>
      <c r="B9" s="74" t="n">
        <v>1.19250455753602</v>
      </c>
      <c r="C9" s="185" t="n">
        <v>1.39466666666667</v>
      </c>
      <c r="D9" s="185" t="n">
        <v>1.09527688794696</v>
      </c>
      <c r="E9" s="186" t="n">
        <v>0.978666666666667</v>
      </c>
    </row>
    <row r="10" customFormat="false" ht="14.25" hidden="false" customHeight="true" outlineLevel="0" collapsed="false">
      <c r="A10" s="166" t="s">
        <v>189</v>
      </c>
      <c r="B10" s="74" t="n">
        <v>0.959030500755965</v>
      </c>
      <c r="C10" s="185" t="n">
        <v>1.00166666666667</v>
      </c>
      <c r="D10" s="185" t="n">
        <v>0.973703063198354</v>
      </c>
      <c r="E10" s="186" t="n">
        <v>0.968888888888889</v>
      </c>
    </row>
    <row r="11" customFormat="false" ht="14.25" hidden="false" customHeight="true" outlineLevel="0" collapsed="false">
      <c r="A11" s="98" t="s">
        <v>214</v>
      </c>
      <c r="B11" s="187" t="n">
        <v>1.11911090014805</v>
      </c>
      <c r="C11" s="188" t="n">
        <v>1.14737037037037</v>
      </c>
      <c r="D11" s="188" t="n">
        <v>1.05074245857183</v>
      </c>
      <c r="E11" s="189" t="n">
        <v>1.0534126984127</v>
      </c>
    </row>
    <row r="12"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O7" activePane="bottomRight" state="frozen"/>
      <selection pane="topLeft" activeCell="A1" activeCellId="0" sqref="A1"/>
      <selection pane="topRight" activeCell="O1" activeCellId="0" sqref="O1"/>
      <selection pane="bottomLeft" activeCell="A7" activeCellId="0" sqref="A7"/>
      <selection pane="bottomRight" activeCell="R23" activeCellId="0" sqref="R23"/>
    </sheetView>
  </sheetViews>
  <sheetFormatPr defaultColWidth="27.73046875" defaultRowHeight="14.25" zeroHeight="false" outlineLevelRow="0" outlineLevelCol="0"/>
  <cols>
    <col collapsed="false" customWidth="true" hidden="false" outlineLevel="0" max="1" min="1" style="1" width="6.09"/>
    <col collapsed="false" customWidth="true" hidden="false" outlineLevel="0" max="2" min="2" style="1" width="13.81"/>
    <col collapsed="false" customWidth="true" hidden="false" outlineLevel="0" max="3" min="3" style="1" width="12.09"/>
    <col collapsed="false" customWidth="true" hidden="false" outlineLevel="0" max="4" min="4" style="1" width="18.54"/>
    <col collapsed="false" customWidth="true" hidden="false" outlineLevel="0" max="5" min="5" style="1" width="8.09"/>
    <col collapsed="false" customWidth="true" hidden="false" outlineLevel="0" max="6" min="6" style="1" width="25.73"/>
    <col collapsed="false" customWidth="true" hidden="false" outlineLevel="0" max="7" min="7" style="1" width="31"/>
    <col collapsed="false" customWidth="true" hidden="false" outlineLevel="0" max="8" min="8" style="1" width="25.73"/>
    <col collapsed="false" customWidth="true" hidden="false" outlineLevel="0" max="9" min="9" style="1" width="29.54"/>
    <col collapsed="false" customWidth="true" hidden="false" outlineLevel="0" max="10" min="10" style="1" width="25.73"/>
    <col collapsed="false" customWidth="true" hidden="false" outlineLevel="0" max="11" min="11" style="1" width="30.63"/>
    <col collapsed="false" customWidth="true" hidden="false" outlineLevel="0" max="12" min="12" style="1" width="9.91"/>
    <col collapsed="false" customWidth="true" hidden="false" outlineLevel="0" max="13" min="13" style="1" width="25.73"/>
    <col collapsed="false" customWidth="true" hidden="false" outlineLevel="0" max="14" min="14" style="1" width="31"/>
    <col collapsed="false" customWidth="true" hidden="false" outlineLevel="0" max="15" min="15" style="1" width="25.82"/>
    <col collapsed="false" customWidth="true" hidden="false" outlineLevel="0" max="16" min="16" style="1" width="30.18"/>
    <col collapsed="false" customWidth="true" hidden="false" outlineLevel="0" max="17" min="17" style="190" width="31"/>
    <col collapsed="false" customWidth="true" hidden="false" outlineLevel="0" max="18" min="18" style="190" width="30.18"/>
    <col collapsed="false" customWidth="true" hidden="false" outlineLevel="0" max="19" min="19" style="1" width="11"/>
  </cols>
  <sheetData>
    <row r="1" customFormat="false" ht="63.75" hidden="false" customHeight="true" outlineLevel="0" collapsed="false">
      <c r="A1" s="14" t="s">
        <v>122</v>
      </c>
      <c r="B1" s="14" t="s">
        <v>123</v>
      </c>
      <c r="C1" s="14" t="s">
        <v>124</v>
      </c>
      <c r="D1" s="14" t="s">
        <v>125</v>
      </c>
      <c r="E1" s="14" t="s">
        <v>126</v>
      </c>
      <c r="F1" s="191" t="s">
        <v>324</v>
      </c>
      <c r="G1" s="191" t="s">
        <v>325</v>
      </c>
      <c r="H1" s="191" t="s">
        <v>326</v>
      </c>
      <c r="I1" s="191" t="s">
        <v>327</v>
      </c>
      <c r="J1" s="191" t="s">
        <v>328</v>
      </c>
      <c r="K1" s="191" t="s">
        <v>329</v>
      </c>
      <c r="L1" s="192" t="s">
        <v>330</v>
      </c>
      <c r="M1" s="191" t="s">
        <v>331</v>
      </c>
      <c r="N1" s="191" t="s">
        <v>332</v>
      </c>
      <c r="O1" s="191" t="s">
        <v>333</v>
      </c>
      <c r="P1" s="191" t="s">
        <v>334</v>
      </c>
      <c r="Q1" s="193" t="s">
        <v>335</v>
      </c>
      <c r="R1" s="193" t="s">
        <v>336</v>
      </c>
      <c r="S1" s="192" t="s">
        <v>337</v>
      </c>
    </row>
    <row r="2" customFormat="false" ht="14.25" hidden="false" customHeight="true" outlineLevel="0" collapsed="false">
      <c r="A2" s="115" t="s">
        <v>162</v>
      </c>
      <c r="B2" s="25" t="s">
        <v>278</v>
      </c>
      <c r="C2" s="23" t="s">
        <v>164</v>
      </c>
      <c r="D2" s="24" t="s">
        <v>165</v>
      </c>
      <c r="E2" s="194" t="s">
        <v>166</v>
      </c>
      <c r="F2" s="74" t="n">
        <v>0</v>
      </c>
      <c r="G2" s="74" t="n">
        <v>0</v>
      </c>
      <c r="H2" s="74" t="n">
        <v>0</v>
      </c>
      <c r="I2" s="74" t="n">
        <v>0</v>
      </c>
      <c r="J2" s="74" t="n">
        <v>0</v>
      </c>
      <c r="K2" s="74" t="n">
        <v>0</v>
      </c>
      <c r="L2" s="74" t="n">
        <f aca="false">AVERAGE(F2:K2)</f>
        <v>0</v>
      </c>
      <c r="M2" s="74" t="n">
        <v>0</v>
      </c>
      <c r="N2" s="74" t="n">
        <v>0</v>
      </c>
      <c r="O2" s="74" t="n">
        <v>0</v>
      </c>
      <c r="P2" s="74" t="n">
        <v>0</v>
      </c>
      <c r="Q2" s="190" t="n">
        <v>0.111111111111111</v>
      </c>
      <c r="S2" s="190" t="n">
        <f aca="false">AVERAGE(M2:R2)</f>
        <v>0.0222222222222222</v>
      </c>
    </row>
    <row r="3" customFormat="false" ht="14.25" hidden="false" customHeight="true" outlineLevel="0" collapsed="false">
      <c r="A3" s="115" t="s">
        <v>162</v>
      </c>
      <c r="B3" s="25" t="s">
        <v>278</v>
      </c>
      <c r="C3" s="23" t="s">
        <v>164</v>
      </c>
      <c r="D3" s="24" t="s">
        <v>167</v>
      </c>
      <c r="E3" s="194" t="s">
        <v>166</v>
      </c>
      <c r="F3" s="74" t="n">
        <v>0</v>
      </c>
      <c r="G3" s="74" t="n">
        <v>0</v>
      </c>
      <c r="H3" s="74" t="n">
        <v>0</v>
      </c>
      <c r="I3" s="74" t="n">
        <v>0</v>
      </c>
      <c r="J3" s="74" t="n">
        <v>0.0204081632653061</v>
      </c>
      <c r="K3" s="74" t="n">
        <v>0.0212765957446809</v>
      </c>
      <c r="L3" s="74" t="n">
        <f aca="false">AVERAGE(F3:K3)</f>
        <v>0.00694745983499783</v>
      </c>
      <c r="M3" s="74" t="n">
        <v>0</v>
      </c>
      <c r="N3" s="74" t="n">
        <v>0</v>
      </c>
      <c r="O3" s="74" t="n">
        <v>0</v>
      </c>
      <c r="P3" s="74" t="n">
        <v>0</v>
      </c>
      <c r="Q3" s="190" t="n">
        <v>0</v>
      </c>
      <c r="S3" s="190" t="n">
        <f aca="false">AVERAGE(M3:R3)</f>
        <v>0</v>
      </c>
    </row>
    <row r="4" customFormat="false" ht="14.25" hidden="false" customHeight="true" outlineLevel="0" collapsed="false">
      <c r="A4" s="115" t="s">
        <v>162</v>
      </c>
      <c r="B4" s="25" t="s">
        <v>278</v>
      </c>
      <c r="C4" s="23" t="s">
        <v>168</v>
      </c>
      <c r="D4" s="25" t="s">
        <v>169</v>
      </c>
      <c r="E4" s="194" t="s">
        <v>166</v>
      </c>
      <c r="F4" s="74" t="n">
        <v>0</v>
      </c>
      <c r="G4" s="74" t="n">
        <v>0</v>
      </c>
      <c r="H4" s="74" t="n">
        <v>0</v>
      </c>
      <c r="I4" s="74" t="n">
        <v>0</v>
      </c>
      <c r="J4" s="74" t="n">
        <v>0</v>
      </c>
      <c r="K4" s="74" t="n">
        <v>0</v>
      </c>
      <c r="L4" s="74" t="n">
        <f aca="false">AVERAGE(F4:K4)</f>
        <v>0</v>
      </c>
      <c r="M4" s="74" t="n">
        <v>0.027027027027027</v>
      </c>
      <c r="N4" s="74" t="n">
        <v>0.0294117647058824</v>
      </c>
      <c r="O4" s="74" t="n">
        <v>0.081081081</v>
      </c>
      <c r="P4" s="74" t="n">
        <v>0.022727273</v>
      </c>
      <c r="Q4" s="190" t="n">
        <v>0.0208333333333333</v>
      </c>
      <c r="R4" s="190" t="n">
        <v>0.0206185567010309</v>
      </c>
      <c r="S4" s="190" t="n">
        <f aca="false">AVERAGE(M4:R4)</f>
        <v>0.0336165059612123</v>
      </c>
    </row>
    <row r="5" customFormat="false" ht="14.25" hidden="false" customHeight="true" outlineLevel="0" collapsed="false">
      <c r="A5" s="115" t="s">
        <v>162</v>
      </c>
      <c r="B5" s="25" t="s">
        <v>278</v>
      </c>
      <c r="C5" s="23" t="s">
        <v>168</v>
      </c>
      <c r="D5" s="31" t="s">
        <v>170</v>
      </c>
      <c r="E5" s="194" t="s">
        <v>166</v>
      </c>
      <c r="F5" s="74" t="n">
        <v>0</v>
      </c>
      <c r="G5" s="74" t="n">
        <v>0</v>
      </c>
      <c r="H5" s="74" t="n">
        <v>0</v>
      </c>
      <c r="I5" s="74" t="n">
        <v>0</v>
      </c>
      <c r="J5" s="74" t="n">
        <v>0</v>
      </c>
      <c r="K5" s="74" t="n">
        <v>0</v>
      </c>
      <c r="L5" s="74" t="n">
        <f aca="false">AVERAGE(F5:K5)</f>
        <v>0</v>
      </c>
      <c r="M5" s="74" t="n">
        <v>0</v>
      </c>
      <c r="N5" s="74" t="n">
        <v>0</v>
      </c>
      <c r="O5" s="74" t="n">
        <v>0</v>
      </c>
      <c r="P5" s="74" t="n">
        <v>0</v>
      </c>
      <c r="Q5" s="190" t="n">
        <v>0</v>
      </c>
      <c r="S5" s="190" t="n">
        <f aca="false">AVERAGE(M5:R5)</f>
        <v>0</v>
      </c>
    </row>
    <row r="6" customFormat="false" ht="14.25" hidden="false" customHeight="true" outlineLevel="0" collapsed="false">
      <c r="A6" s="115" t="s">
        <v>162</v>
      </c>
      <c r="B6" s="25" t="s">
        <v>278</v>
      </c>
      <c r="C6" s="23" t="s">
        <v>168</v>
      </c>
      <c r="D6" s="25" t="s">
        <v>171</v>
      </c>
      <c r="E6" s="194" t="s">
        <v>166</v>
      </c>
      <c r="F6" s="74" t="n">
        <v>0</v>
      </c>
      <c r="G6" s="74" t="n">
        <v>0</v>
      </c>
      <c r="H6" s="74" t="n">
        <v>0</v>
      </c>
      <c r="I6" s="74" t="n">
        <v>0</v>
      </c>
      <c r="J6" s="74" t="n">
        <v>0</v>
      </c>
      <c r="K6" s="74" t="n">
        <v>0</v>
      </c>
      <c r="L6" s="74" t="n">
        <f aca="false">AVERAGE(F6:K6)</f>
        <v>0</v>
      </c>
      <c r="M6" s="74" t="n">
        <v>0</v>
      </c>
      <c r="N6" s="74" t="n">
        <v>0</v>
      </c>
      <c r="O6" s="74" t="n">
        <v>0</v>
      </c>
      <c r="P6" s="74" t="n">
        <v>0</v>
      </c>
      <c r="Q6" s="190" t="n">
        <v>0</v>
      </c>
      <c r="R6" s="190" t="n">
        <v>0</v>
      </c>
      <c r="S6" s="190" t="n">
        <f aca="false">AVERAGE(M6:R6)</f>
        <v>0</v>
      </c>
    </row>
    <row r="7" customFormat="false" ht="14.25" hidden="false" customHeight="true" outlineLevel="0" collapsed="false">
      <c r="A7" s="115" t="s">
        <v>162</v>
      </c>
      <c r="B7" s="25" t="s">
        <v>278</v>
      </c>
      <c r="C7" s="23" t="s">
        <v>168</v>
      </c>
      <c r="D7" s="25" t="s">
        <v>172</v>
      </c>
      <c r="E7" s="194" t="s">
        <v>166</v>
      </c>
      <c r="F7" s="74" t="n">
        <v>0</v>
      </c>
      <c r="G7" s="74" t="n">
        <v>0</v>
      </c>
      <c r="H7" s="74" t="n">
        <v>0</v>
      </c>
      <c r="I7" s="74" t="n">
        <v>0</v>
      </c>
      <c r="J7" s="74" t="n">
        <v>0</v>
      </c>
      <c r="K7" s="74" t="n">
        <v>0</v>
      </c>
      <c r="L7" s="74" t="n">
        <f aca="false">AVERAGE(F7:K7)</f>
        <v>0</v>
      </c>
      <c r="M7" s="74" t="n">
        <v>0</v>
      </c>
      <c r="N7" s="74" t="n">
        <v>0</v>
      </c>
      <c r="O7" s="74" t="n">
        <v>0</v>
      </c>
      <c r="P7" s="74" t="n">
        <v>0</v>
      </c>
      <c r="Q7" s="190" t="n">
        <v>0.0140845070422535</v>
      </c>
      <c r="R7" s="190" t="n">
        <v>0.0149253731343284</v>
      </c>
      <c r="S7" s="190" t="n">
        <f aca="false">AVERAGE(M7:R7)</f>
        <v>0.00483498002943032</v>
      </c>
    </row>
    <row r="8" customFormat="false" ht="14.25" hidden="false" customHeight="true" outlineLevel="0" collapsed="false">
      <c r="A8" s="115" t="s">
        <v>162</v>
      </c>
      <c r="B8" s="25" t="s">
        <v>278</v>
      </c>
      <c r="C8" s="23" t="s">
        <v>168</v>
      </c>
      <c r="D8" s="25" t="s">
        <v>173</v>
      </c>
      <c r="E8" s="194" t="s">
        <v>166</v>
      </c>
      <c r="F8" s="74" t="n">
        <v>0</v>
      </c>
      <c r="G8" s="74" t="n">
        <v>0</v>
      </c>
      <c r="H8" s="74" t="n">
        <v>0</v>
      </c>
      <c r="I8" s="74" t="n">
        <v>0</v>
      </c>
      <c r="J8" s="74" t="n">
        <v>0</v>
      </c>
      <c r="K8" s="74" t="n">
        <v>0</v>
      </c>
      <c r="L8" s="74" t="n">
        <f aca="false">AVERAGE(F8:K8)</f>
        <v>0</v>
      </c>
      <c r="M8" s="74" t="n">
        <v>0</v>
      </c>
      <c r="N8" s="74" t="n">
        <v>0</v>
      </c>
      <c r="O8" s="74" t="n">
        <v>0</v>
      </c>
      <c r="P8" s="74" t="n">
        <v>0</v>
      </c>
      <c r="Q8" s="190" t="n">
        <v>0</v>
      </c>
      <c r="R8" s="190" t="n">
        <v>0</v>
      </c>
      <c r="S8" s="190" t="n">
        <f aca="false">AVERAGE(M8:R8)</f>
        <v>0</v>
      </c>
    </row>
    <row r="9" customFormat="false" ht="14.25" hidden="false" customHeight="true" outlineLevel="0" collapsed="false">
      <c r="A9" s="115" t="s">
        <v>162</v>
      </c>
      <c r="B9" s="25" t="s">
        <v>278</v>
      </c>
      <c r="C9" s="23" t="s">
        <v>164</v>
      </c>
      <c r="D9" s="34" t="s">
        <v>174</v>
      </c>
      <c r="E9" s="194" t="s">
        <v>166</v>
      </c>
      <c r="F9" s="74" t="n">
        <v>0.1</v>
      </c>
      <c r="G9" s="74" t="n">
        <v>0.0344827586206897</v>
      </c>
      <c r="H9" s="74" t="n">
        <v>0</v>
      </c>
      <c r="I9" s="74" t="n">
        <v>0</v>
      </c>
      <c r="J9" s="74" t="n">
        <v>0</v>
      </c>
      <c r="K9" s="74" t="n">
        <v>0</v>
      </c>
      <c r="L9" s="74" t="n">
        <f aca="false">AVERAGE(F9:K9)</f>
        <v>0.0224137931034483</v>
      </c>
      <c r="M9" s="74" t="n">
        <v>0</v>
      </c>
      <c r="N9" s="74" t="n">
        <v>0</v>
      </c>
      <c r="O9" s="74" t="n">
        <v>0</v>
      </c>
      <c r="P9" s="74" t="n">
        <v>0</v>
      </c>
      <c r="Q9" s="190" t="n">
        <v>0</v>
      </c>
      <c r="R9" s="190" t="n">
        <v>0</v>
      </c>
      <c r="S9" s="190" t="n">
        <f aca="false">AVERAGE(M9:R9)</f>
        <v>0</v>
      </c>
    </row>
    <row r="10" customFormat="false" ht="14.25" hidden="false" customHeight="true" outlineLevel="0" collapsed="false">
      <c r="A10" s="115" t="s">
        <v>162</v>
      </c>
      <c r="B10" s="25" t="s">
        <v>278</v>
      </c>
      <c r="C10" s="23" t="s">
        <v>164</v>
      </c>
      <c r="D10" s="34" t="s">
        <v>175</v>
      </c>
      <c r="E10" s="194" t="s">
        <v>176</v>
      </c>
      <c r="F10" s="195"/>
      <c r="G10" s="195"/>
      <c r="H10" s="195"/>
      <c r="I10" s="195"/>
      <c r="J10" s="195"/>
      <c r="K10" s="195"/>
      <c r="L10" s="195"/>
      <c r="M10" s="195"/>
      <c r="N10" s="195"/>
      <c r="O10" s="195"/>
      <c r="P10" s="195"/>
      <c r="Q10" s="196"/>
      <c r="R10" s="196"/>
      <c r="S10" s="190"/>
    </row>
    <row r="11" customFormat="false" ht="14.25" hidden="false" customHeight="true" outlineLevel="0" collapsed="false">
      <c r="A11" s="115" t="s">
        <v>162</v>
      </c>
      <c r="B11" s="25" t="s">
        <v>278</v>
      </c>
      <c r="C11" s="23" t="s">
        <v>164</v>
      </c>
      <c r="D11" s="34" t="s">
        <v>178</v>
      </c>
      <c r="E11" s="194" t="s">
        <v>166</v>
      </c>
      <c r="F11" s="74" t="n">
        <v>0</v>
      </c>
      <c r="G11" s="74" t="n">
        <v>0</v>
      </c>
      <c r="H11" s="74" t="n">
        <v>0</v>
      </c>
      <c r="I11" s="74" t="n">
        <v>0</v>
      </c>
      <c r="J11" s="74" t="n">
        <v>0</v>
      </c>
      <c r="K11" s="74" t="n">
        <v>0</v>
      </c>
      <c r="L11" s="74" t="n">
        <f aca="false">AVERAGE(F11:K11)</f>
        <v>0</v>
      </c>
      <c r="M11" s="74" t="n">
        <v>0.0508474576271187</v>
      </c>
      <c r="N11" s="74" t="n">
        <v>0</v>
      </c>
      <c r="O11" s="74" t="n">
        <v>0</v>
      </c>
      <c r="P11" s="74" t="n">
        <v>0.04</v>
      </c>
      <c r="Q11" s="190" t="n">
        <v>0.0980392156862745</v>
      </c>
      <c r="R11" s="190" t="n">
        <v>0.105263157894737</v>
      </c>
      <c r="S11" s="190" t="n">
        <f aca="false">AVERAGE(M11:R11)</f>
        <v>0.0490249718680217</v>
      </c>
    </row>
    <row r="12" customFormat="false" ht="14.25" hidden="false" customHeight="true" outlineLevel="0" collapsed="false">
      <c r="A12" s="115" t="s">
        <v>162</v>
      </c>
      <c r="B12" s="25" t="s">
        <v>278</v>
      </c>
      <c r="C12" s="23" t="s">
        <v>164</v>
      </c>
      <c r="D12" s="34" t="s">
        <v>179</v>
      </c>
      <c r="E12" s="194" t="s">
        <v>166</v>
      </c>
      <c r="F12" s="74" t="n">
        <v>0</v>
      </c>
      <c r="G12" s="74" t="n">
        <v>0</v>
      </c>
      <c r="H12" s="74" t="n">
        <v>0.0454545454545455</v>
      </c>
      <c r="I12" s="74" t="n">
        <v>0.127272727272727</v>
      </c>
      <c r="J12" s="74" t="n">
        <v>0.146341463414634</v>
      </c>
      <c r="K12" s="74" t="n">
        <v>0.0851063829787234</v>
      </c>
      <c r="L12" s="74" t="n">
        <f aca="false">AVERAGE(F12:K12)</f>
        <v>0.0673625198534383</v>
      </c>
      <c r="M12" s="74" t="n">
        <v>0.0789473684210526</v>
      </c>
      <c r="N12" s="74" t="n">
        <v>0.0526315789473684</v>
      </c>
      <c r="O12" s="74" t="n">
        <v>0.03</v>
      </c>
      <c r="P12" s="74" t="n">
        <v>0.02</v>
      </c>
      <c r="Q12" s="190" t="n">
        <v>0.0204081632653061</v>
      </c>
      <c r="R12" s="190" t="n">
        <v>0.0185185185185185</v>
      </c>
      <c r="S12" s="190" t="n">
        <f aca="false">AVERAGE(M12:R12)</f>
        <v>0.0367509381920409</v>
      </c>
    </row>
    <row r="13" customFormat="false" ht="14.25" hidden="false" customHeight="true" outlineLevel="0" collapsed="false">
      <c r="A13" s="115" t="s">
        <v>162</v>
      </c>
      <c r="B13" s="25" t="s">
        <v>278</v>
      </c>
      <c r="C13" s="23" t="s">
        <v>164</v>
      </c>
      <c r="D13" s="34" t="s">
        <v>180</v>
      </c>
      <c r="E13" s="194" t="s">
        <v>166</v>
      </c>
      <c r="F13" s="74" t="n">
        <v>0</v>
      </c>
      <c r="G13" s="74" t="n">
        <v>0.027027027027027</v>
      </c>
      <c r="H13" s="74" t="n">
        <v>0.0555555555555556</v>
      </c>
      <c r="I13" s="74" t="n">
        <v>0</v>
      </c>
      <c r="J13" s="74" t="n">
        <v>0.153846153846154</v>
      </c>
      <c r="K13" s="74" t="n">
        <v>0.106382978723404</v>
      </c>
      <c r="L13" s="74" t="n">
        <f aca="false">AVERAGE(F13:K13)</f>
        <v>0.0571352858586901</v>
      </c>
      <c r="M13" s="74" t="n">
        <v>0.0731707317073171</v>
      </c>
      <c r="N13" s="74" t="n">
        <v>0.0547945205479452</v>
      </c>
      <c r="O13" s="74" t="n">
        <v>0</v>
      </c>
      <c r="P13" s="74" t="n">
        <v>0.06</v>
      </c>
      <c r="Q13" s="190" t="n">
        <v>0</v>
      </c>
      <c r="R13" s="190" t="n">
        <v>0.0217391304347826</v>
      </c>
      <c r="S13" s="190" t="n">
        <f aca="false">AVERAGE(M13:R13)</f>
        <v>0.0349507304483408</v>
      </c>
    </row>
    <row r="14" customFormat="false" ht="14.25" hidden="false" customHeight="true" outlineLevel="0" collapsed="false">
      <c r="A14" s="115" t="s">
        <v>162</v>
      </c>
      <c r="B14" s="25" t="s">
        <v>181</v>
      </c>
      <c r="C14" s="48" t="s">
        <v>182</v>
      </c>
      <c r="D14" s="49" t="s">
        <v>183</v>
      </c>
      <c r="E14" s="194" t="s">
        <v>166</v>
      </c>
      <c r="F14" s="74" t="n">
        <v>0</v>
      </c>
      <c r="G14" s="74" t="n">
        <v>0</v>
      </c>
      <c r="H14" s="74" t="n">
        <v>0</v>
      </c>
      <c r="I14" s="74" t="n">
        <v>0</v>
      </c>
      <c r="J14" s="74" t="n">
        <v>0.0196078431372549</v>
      </c>
      <c r="K14" s="74" t="n">
        <v>0</v>
      </c>
      <c r="L14" s="74" t="n">
        <f aca="false">AVERAGE(F14:K14)</f>
        <v>0.00326797385620915</v>
      </c>
      <c r="M14" s="74" t="n">
        <v>0</v>
      </c>
      <c r="N14" s="74" t="n">
        <v>0</v>
      </c>
      <c r="O14" s="74" t="n">
        <v>0</v>
      </c>
      <c r="P14" s="74" t="n">
        <v>0</v>
      </c>
      <c r="Q14" s="190" t="n">
        <v>0</v>
      </c>
      <c r="S14" s="190" t="n">
        <f aca="false">AVERAGE(M14:R14)</f>
        <v>0</v>
      </c>
    </row>
    <row r="15" customFormat="false" ht="14.25" hidden="false" customHeight="true" outlineLevel="0" collapsed="false">
      <c r="A15" s="115" t="s">
        <v>162</v>
      </c>
      <c r="B15" s="25" t="s">
        <v>181</v>
      </c>
      <c r="C15" s="48" t="s">
        <v>182</v>
      </c>
      <c r="D15" s="49" t="s">
        <v>184</v>
      </c>
      <c r="E15" s="194" t="s">
        <v>166</v>
      </c>
      <c r="F15" s="74" t="n">
        <v>0</v>
      </c>
      <c r="G15" s="74" t="n">
        <v>0</v>
      </c>
      <c r="H15" s="74" t="n">
        <v>0</v>
      </c>
      <c r="I15" s="74" t="n">
        <v>0</v>
      </c>
      <c r="J15" s="74" t="n">
        <v>0</v>
      </c>
      <c r="K15" s="74" t="n">
        <v>0</v>
      </c>
      <c r="L15" s="74" t="n">
        <f aca="false">AVERAGE(F15:K15)</f>
        <v>0</v>
      </c>
      <c r="M15" s="74" t="n">
        <v>0</v>
      </c>
      <c r="N15" s="74" t="n">
        <v>0</v>
      </c>
      <c r="O15" s="74" t="n">
        <v>0</v>
      </c>
      <c r="P15" s="74" t="n">
        <v>0</v>
      </c>
      <c r="Q15" s="190" t="n">
        <v>0</v>
      </c>
      <c r="S15" s="190" t="n">
        <f aca="false">AVERAGE(M15:R15)</f>
        <v>0</v>
      </c>
    </row>
    <row r="16" customFormat="false" ht="14.25" hidden="false" customHeight="true" outlineLevel="0" collapsed="false">
      <c r="A16" s="115" t="s">
        <v>162</v>
      </c>
      <c r="B16" s="25" t="s">
        <v>181</v>
      </c>
      <c r="C16" s="48" t="s">
        <v>182</v>
      </c>
      <c r="D16" s="49" t="s">
        <v>185</v>
      </c>
      <c r="E16" s="194" t="s">
        <v>166</v>
      </c>
      <c r="F16" s="74" t="n">
        <v>0</v>
      </c>
      <c r="G16" s="74" t="n">
        <v>0</v>
      </c>
      <c r="H16" s="74" t="n">
        <v>0</v>
      </c>
      <c r="I16" s="74" t="n">
        <v>0</v>
      </c>
      <c r="J16" s="74" t="n">
        <v>0</v>
      </c>
      <c r="K16" s="74" t="n">
        <v>0</v>
      </c>
      <c r="L16" s="74" t="n">
        <f aca="false">AVERAGE(F16:K16)</f>
        <v>0</v>
      </c>
      <c r="M16" s="74" t="n">
        <v>0</v>
      </c>
      <c r="N16" s="74" t="n">
        <v>0</v>
      </c>
      <c r="O16" s="74" t="n">
        <v>0</v>
      </c>
      <c r="P16" s="74" t="n">
        <v>0</v>
      </c>
      <c r="Q16" s="190" t="n">
        <v>0</v>
      </c>
      <c r="S16" s="190" t="n">
        <f aca="false">AVERAGE(M16:R16)</f>
        <v>0</v>
      </c>
    </row>
    <row r="17" customFormat="false" ht="14.25" hidden="false" customHeight="true" outlineLevel="0" collapsed="false">
      <c r="A17" s="115" t="s">
        <v>162</v>
      </c>
      <c r="B17" s="25" t="s">
        <v>181</v>
      </c>
      <c r="C17" s="48" t="s">
        <v>182</v>
      </c>
      <c r="D17" s="49" t="s">
        <v>186</v>
      </c>
      <c r="E17" s="194" t="s">
        <v>166</v>
      </c>
      <c r="F17" s="74" t="n">
        <v>0.0454545454545455</v>
      </c>
      <c r="G17" s="74" t="n">
        <v>0</v>
      </c>
      <c r="H17" s="74" t="n">
        <v>0</v>
      </c>
      <c r="I17" s="74" t="n">
        <v>0</v>
      </c>
      <c r="J17" s="74" t="n">
        <v>0</v>
      </c>
      <c r="K17" s="74"/>
      <c r="L17" s="74" t="n">
        <f aca="false">AVERAGE(F17:K17)</f>
        <v>0.0090909090909091</v>
      </c>
      <c r="M17" s="74" t="n">
        <v>0</v>
      </c>
      <c r="N17" s="74" t="n">
        <v>0</v>
      </c>
      <c r="O17" s="74" t="n">
        <v>0</v>
      </c>
      <c r="P17" s="197" t="n">
        <v>0</v>
      </c>
      <c r="S17" s="190" t="n">
        <f aca="false">AVERAGE(M17:R17)</f>
        <v>0</v>
      </c>
    </row>
    <row r="18" customFormat="false" ht="14.25" hidden="false" customHeight="true" outlineLevel="0" collapsed="false">
      <c r="A18" s="115" t="s">
        <v>162</v>
      </c>
      <c r="B18" s="25" t="s">
        <v>188</v>
      </c>
      <c r="C18" s="23" t="s">
        <v>189</v>
      </c>
      <c r="D18" s="52" t="s">
        <v>190</v>
      </c>
      <c r="E18" s="194" t="s">
        <v>166</v>
      </c>
      <c r="F18" s="74" t="n">
        <v>0</v>
      </c>
      <c r="G18" s="74" t="n">
        <v>0</v>
      </c>
      <c r="H18" s="74" t="n">
        <v>0</v>
      </c>
      <c r="I18" s="74" t="n">
        <v>0</v>
      </c>
      <c r="J18" s="74" t="n">
        <v>0</v>
      </c>
      <c r="K18" s="74" t="n">
        <v>0</v>
      </c>
      <c r="L18" s="74" t="n">
        <f aca="false">AVERAGE(F18:K18)</f>
        <v>0</v>
      </c>
      <c r="M18" s="74" t="n">
        <v>0</v>
      </c>
      <c r="N18" s="74" t="n">
        <v>0</v>
      </c>
      <c r="O18" s="74" t="n">
        <v>0</v>
      </c>
      <c r="P18" s="74" t="n">
        <v>0</v>
      </c>
      <c r="Q18" s="190" t="n">
        <v>0</v>
      </c>
      <c r="R18" s="190" t="n">
        <v>0</v>
      </c>
      <c r="S18" s="190" t="n">
        <f aca="false">AVERAGE(M18:R18)</f>
        <v>0</v>
      </c>
    </row>
    <row r="19" customFormat="false" ht="14.25" hidden="false" customHeight="true" outlineLevel="0" collapsed="false">
      <c r="A19" s="115" t="s">
        <v>162</v>
      </c>
      <c r="B19" s="25" t="s">
        <v>188</v>
      </c>
      <c r="C19" s="23" t="s">
        <v>189</v>
      </c>
      <c r="D19" s="52" t="s">
        <v>191</v>
      </c>
      <c r="E19" s="194" t="s">
        <v>166</v>
      </c>
      <c r="F19" s="74" t="n">
        <v>0</v>
      </c>
      <c r="G19" s="74" t="n">
        <v>0</v>
      </c>
      <c r="H19" s="74" t="n">
        <v>0</v>
      </c>
      <c r="I19" s="74" t="n">
        <v>0</v>
      </c>
      <c r="J19" s="74" t="n">
        <v>0</v>
      </c>
      <c r="K19" s="74" t="n">
        <v>0</v>
      </c>
      <c r="L19" s="74" t="n">
        <f aca="false">AVERAGE(F19:K19)</f>
        <v>0</v>
      </c>
      <c r="M19" s="74" t="n">
        <v>0</v>
      </c>
      <c r="N19" s="74" t="n">
        <v>0</v>
      </c>
      <c r="O19" s="74" t="n">
        <v>0</v>
      </c>
      <c r="P19" s="74" t="n">
        <v>0</v>
      </c>
      <c r="Q19" s="190" t="n">
        <v>0</v>
      </c>
      <c r="R19" s="190" t="n">
        <v>0</v>
      </c>
      <c r="S19" s="190" t="n">
        <f aca="false">AVERAGE(M19:R19)</f>
        <v>0</v>
      </c>
    </row>
    <row r="20" customFormat="false" ht="14.25" hidden="false" customHeight="true" outlineLevel="0" collapsed="false">
      <c r="A20" s="115" t="s">
        <v>162</v>
      </c>
      <c r="B20" s="25" t="s">
        <v>188</v>
      </c>
      <c r="C20" s="23" t="s">
        <v>189</v>
      </c>
      <c r="D20" s="53" t="s">
        <v>192</v>
      </c>
      <c r="E20" s="194" t="s">
        <v>166</v>
      </c>
      <c r="F20" s="74" t="n">
        <v>0</v>
      </c>
      <c r="G20" s="74" t="n">
        <v>0</v>
      </c>
      <c r="H20" s="74" t="n">
        <v>0</v>
      </c>
      <c r="I20" s="74" t="n">
        <v>0</v>
      </c>
      <c r="J20" s="74" t="n">
        <v>0</v>
      </c>
      <c r="K20" s="74" t="n">
        <v>0</v>
      </c>
      <c r="L20" s="74" t="n">
        <f aca="false">AVERAGE(F20:K20)</f>
        <v>0</v>
      </c>
      <c r="M20" s="74" t="n">
        <v>0</v>
      </c>
      <c r="N20" s="74" t="n">
        <v>0</v>
      </c>
      <c r="O20" s="74" t="n">
        <v>0</v>
      </c>
      <c r="P20" s="74" t="n">
        <v>0</v>
      </c>
      <c r="Q20" s="190" t="n">
        <v>0</v>
      </c>
      <c r="R20" s="190" t="n">
        <v>0</v>
      </c>
      <c r="S20" s="190" t="n">
        <f aca="false">AVERAGE(M20:R20)</f>
        <v>0</v>
      </c>
    </row>
    <row r="21" customFormat="false" ht="14.25" hidden="false" customHeight="true" outlineLevel="0" collapsed="false">
      <c r="A21" s="115" t="s">
        <v>162</v>
      </c>
      <c r="B21" s="25" t="s">
        <v>188</v>
      </c>
      <c r="C21" s="23" t="s">
        <v>193</v>
      </c>
      <c r="D21" s="49" t="s">
        <v>194</v>
      </c>
      <c r="E21" s="194" t="s">
        <v>166</v>
      </c>
      <c r="F21" s="74" t="n">
        <v>0</v>
      </c>
      <c r="G21" s="74" t="n">
        <v>0</v>
      </c>
      <c r="H21" s="74" t="n">
        <v>0</v>
      </c>
      <c r="I21" s="74" t="n">
        <v>0</v>
      </c>
      <c r="J21" s="74" t="n">
        <v>0</v>
      </c>
      <c r="K21" s="74" t="n">
        <v>0</v>
      </c>
      <c r="L21" s="74" t="n">
        <f aca="false">AVERAGE(F21:K21)</f>
        <v>0</v>
      </c>
      <c r="M21" s="74" t="n">
        <v>0</v>
      </c>
      <c r="N21" s="74" t="n">
        <v>0</v>
      </c>
      <c r="O21" s="74"/>
      <c r="P21" s="74"/>
      <c r="S21" s="190" t="n">
        <f aca="false">AVERAGE(M21:R21)</f>
        <v>0</v>
      </c>
    </row>
    <row r="22" customFormat="false" ht="14.25" hidden="false" customHeight="true" outlineLevel="0" collapsed="false">
      <c r="A22" s="161" t="s">
        <v>162</v>
      </c>
      <c r="B22" s="25" t="s">
        <v>278</v>
      </c>
      <c r="C22" s="23" t="s">
        <v>164</v>
      </c>
      <c r="D22" s="162" t="s">
        <v>195</v>
      </c>
      <c r="E22" s="194" t="s">
        <v>176</v>
      </c>
      <c r="F22" s="195"/>
      <c r="G22" s="195"/>
      <c r="H22" s="195"/>
      <c r="I22" s="195"/>
      <c r="J22" s="195"/>
      <c r="K22" s="195"/>
      <c r="L22" s="195"/>
      <c r="M22" s="195"/>
      <c r="N22" s="195"/>
      <c r="O22" s="195"/>
      <c r="P22" s="195"/>
      <c r="Q22" s="196"/>
      <c r="R22" s="196"/>
      <c r="S22" s="190"/>
    </row>
    <row r="23" customFormat="false" ht="14.25" hidden="false" customHeight="true" outlineLevel="0" collapsed="false">
      <c r="A23" s="161" t="s">
        <v>162</v>
      </c>
      <c r="B23" s="25" t="s">
        <v>188</v>
      </c>
      <c r="C23" s="55" t="s">
        <v>196</v>
      </c>
      <c r="D23" s="56" t="s">
        <v>197</v>
      </c>
      <c r="E23" s="194" t="s">
        <v>166</v>
      </c>
      <c r="F23" s="74" t="n">
        <v>0</v>
      </c>
      <c r="G23" s="74" t="n">
        <v>0</v>
      </c>
      <c r="H23" s="74" t="n">
        <v>0</v>
      </c>
      <c r="I23" s="74" t="n">
        <v>0</v>
      </c>
      <c r="J23" s="74" t="n">
        <v>0</v>
      </c>
      <c r="K23" s="74" t="n">
        <v>0</v>
      </c>
      <c r="L23" s="74" t="n">
        <f aca="false">AVERAGE(F23:K23)</f>
        <v>0</v>
      </c>
      <c r="M23" s="74" t="n">
        <v>0</v>
      </c>
      <c r="N23" s="74" t="n">
        <v>0</v>
      </c>
      <c r="O23" s="74" t="n">
        <v>0</v>
      </c>
      <c r="P23" s="74" t="n">
        <v>0</v>
      </c>
      <c r="Q23" s="190" t="n">
        <v>0</v>
      </c>
      <c r="R23" s="190" t="n">
        <v>0</v>
      </c>
      <c r="S23" s="190" t="n">
        <f aca="false">AVERAGE(M23:R23)</f>
        <v>0</v>
      </c>
    </row>
    <row r="24" customFormat="false" ht="14.25" hidden="false" customHeight="true" outlineLevel="0" collapsed="false">
      <c r="A24" s="161" t="s">
        <v>162</v>
      </c>
      <c r="B24" s="25" t="s">
        <v>188</v>
      </c>
      <c r="C24" s="55" t="s">
        <v>196</v>
      </c>
      <c r="D24" s="56" t="s">
        <v>198</v>
      </c>
      <c r="E24" s="194" t="s">
        <v>166</v>
      </c>
      <c r="F24" s="74" t="n">
        <v>0</v>
      </c>
      <c r="G24" s="74" t="n">
        <v>0</v>
      </c>
      <c r="H24" s="74" t="n">
        <v>0</v>
      </c>
      <c r="I24" s="74" t="n">
        <v>0</v>
      </c>
      <c r="J24" s="74" t="n">
        <v>0</v>
      </c>
      <c r="K24" s="74" t="n">
        <v>0</v>
      </c>
      <c r="L24" s="74" t="n">
        <f aca="false">AVERAGE(F24:K24)</f>
        <v>0</v>
      </c>
      <c r="M24" s="74" t="n">
        <v>0</v>
      </c>
      <c r="N24" s="74" t="n">
        <v>0</v>
      </c>
      <c r="O24" s="74" t="n">
        <v>0</v>
      </c>
      <c r="P24" s="74" t="n">
        <v>0</v>
      </c>
      <c r="Q24" s="190" t="n">
        <v>0</v>
      </c>
      <c r="R24" s="190" t="n">
        <v>0</v>
      </c>
      <c r="S24" s="190" t="n">
        <f aca="false">AVERAGE(M24:R24)</f>
        <v>0</v>
      </c>
    </row>
    <row r="25" customFormat="false" ht="14.25" hidden="false" customHeight="true" outlineLevel="0" collapsed="false">
      <c r="A25" s="161" t="s">
        <v>162</v>
      </c>
      <c r="B25" s="25" t="s">
        <v>188</v>
      </c>
      <c r="C25" s="55" t="s">
        <v>196</v>
      </c>
      <c r="D25" s="56" t="s">
        <v>199</v>
      </c>
      <c r="E25" s="194" t="s">
        <v>166</v>
      </c>
      <c r="F25" s="74"/>
      <c r="G25" s="74"/>
      <c r="H25" s="74"/>
      <c r="I25" s="74"/>
      <c r="J25" s="74" t="n">
        <v>0</v>
      </c>
      <c r="K25" s="74" t="n">
        <v>0</v>
      </c>
      <c r="L25" s="74" t="n">
        <f aca="false">AVERAGE(F25:K25)</f>
        <v>0</v>
      </c>
      <c r="M25" s="74" t="n">
        <v>0</v>
      </c>
      <c r="N25" s="74"/>
      <c r="O25" s="74"/>
      <c r="P25" s="74"/>
      <c r="S25" s="190" t="n">
        <f aca="false">AVERAGE(M25:R25)</f>
        <v>0</v>
      </c>
    </row>
    <row r="26" customFormat="false" ht="14.25" hidden="false" customHeight="true" outlineLevel="0" collapsed="false">
      <c r="A26" s="115" t="s">
        <v>162</v>
      </c>
      <c r="B26" s="25" t="s">
        <v>181</v>
      </c>
      <c r="C26" s="48" t="s">
        <v>182</v>
      </c>
      <c r="D26" s="49" t="s">
        <v>203</v>
      </c>
      <c r="E26" s="194" t="s">
        <v>166</v>
      </c>
      <c r="F26" s="74"/>
      <c r="G26" s="74"/>
      <c r="H26" s="74"/>
      <c r="I26" s="74"/>
      <c r="J26" s="74"/>
      <c r="K26" s="74"/>
      <c r="L26" s="74"/>
      <c r="M26" s="74" t="n">
        <v>0</v>
      </c>
      <c r="N26" s="74" t="n">
        <v>0</v>
      </c>
      <c r="O26" s="74" t="n">
        <v>0</v>
      </c>
      <c r="P26" s="74" t="n">
        <v>0</v>
      </c>
      <c r="Q26" s="190" t="n">
        <v>0</v>
      </c>
      <c r="S26" s="190" t="n">
        <f aca="false">AVERAGE(M26:R26)</f>
        <v>0</v>
      </c>
    </row>
  </sheetData>
  <autoFilter ref="A1:S2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5390625" defaultRowHeight="14.25" zeroHeight="false" outlineLevelRow="0" outlineLevelCol="0"/>
  <cols>
    <col collapsed="false" customWidth="true" hidden="false" outlineLevel="0" max="1" min="1" style="1" width="17.91"/>
    <col collapsed="false" customWidth="true" hidden="false" outlineLevel="0" max="2" min="2" style="1" width="43.37"/>
    <col collapsed="false" customWidth="true" hidden="false" outlineLevel="0" max="3" min="3" style="1" width="44.37"/>
  </cols>
  <sheetData>
    <row r="1" customFormat="false" ht="14.25" hidden="false" customHeight="true" outlineLevel="0" collapsed="false">
      <c r="A1" s="1" t="s">
        <v>126</v>
      </c>
      <c r="B1" s="73" t="s">
        <v>166</v>
      </c>
    </row>
    <row r="3" customFormat="false" ht="14.25" hidden="false" customHeight="true" outlineLevel="0" collapsed="false">
      <c r="A3" s="75" t="s">
        <v>208</v>
      </c>
      <c r="B3" s="76" t="s">
        <v>338</v>
      </c>
      <c r="C3" s="78" t="s">
        <v>339</v>
      </c>
    </row>
    <row r="4" customFormat="false" ht="14.25" hidden="false" customHeight="true" outlineLevel="0" collapsed="false">
      <c r="A4" s="166" t="s">
        <v>278</v>
      </c>
      <c r="B4" s="198" t="n">
        <v>0.0139871871500522</v>
      </c>
      <c r="C4" s="186" t="n">
        <v>0.0164909407928426</v>
      </c>
    </row>
    <row r="5" customFormat="false" ht="14.25" hidden="false" customHeight="true" outlineLevel="0" collapsed="false">
      <c r="A5" s="166" t="s">
        <v>181</v>
      </c>
      <c r="B5" s="198" t="n">
        <v>0.00308972073677956</v>
      </c>
      <c r="C5" s="186" t="n">
        <v>0</v>
      </c>
    </row>
    <row r="6" customFormat="false" ht="14.25" hidden="false" customHeight="true" outlineLevel="0" collapsed="false">
      <c r="A6" s="166" t="s">
        <v>188</v>
      </c>
      <c r="B6" s="198" t="n">
        <v>0</v>
      </c>
      <c r="C6" s="186" t="n">
        <v>0</v>
      </c>
    </row>
    <row r="7" customFormat="false" ht="14.25" hidden="false" customHeight="true" outlineLevel="0" collapsed="false">
      <c r="A7" s="98" t="s">
        <v>214</v>
      </c>
      <c r="B7" s="187" t="n">
        <v>0.00755536098171331</v>
      </c>
      <c r="C7" s="189" t="n">
        <v>0.0078869716835334</v>
      </c>
    </row>
    <row r="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K10" activePane="bottomRight" state="frozen"/>
      <selection pane="topLeft" activeCell="A1" activeCellId="0" sqref="A1"/>
      <selection pane="topRight" activeCell="K1" activeCellId="0" sqref="K1"/>
      <selection pane="bottomLeft" activeCell="A10" activeCellId="0" sqref="A10"/>
      <selection pane="bottomRight" activeCell="R31" activeCellId="0" sqref="R31"/>
    </sheetView>
  </sheetViews>
  <sheetFormatPr defaultColWidth="27.73046875" defaultRowHeight="14.25" zeroHeight="false" outlineLevelRow="0" outlineLevelCol="0"/>
  <cols>
    <col collapsed="false" customWidth="true" hidden="false" outlineLevel="0" max="1" min="1" style="1" width="6.09"/>
    <col collapsed="false" customWidth="true" hidden="false" outlineLevel="0" max="2" min="2" style="1" width="13.81"/>
    <col collapsed="false" customWidth="true" hidden="false" outlineLevel="0" max="3" min="3" style="1" width="12.09"/>
    <col collapsed="false" customWidth="true" hidden="false" outlineLevel="0" max="4" min="4" style="1" width="18.54"/>
    <col collapsed="false" customWidth="true" hidden="false" outlineLevel="0" max="5" min="5" style="1" width="8.09"/>
    <col collapsed="false" customWidth="true" hidden="false" outlineLevel="0" max="11" min="6" style="1" width="11.27"/>
    <col collapsed="false" customWidth="true" hidden="false" outlineLevel="0" max="12" min="12" style="1" width="17.09"/>
    <col collapsed="false" customWidth="true" hidden="false" outlineLevel="0" max="15" min="13" style="1" width="11.27"/>
    <col collapsed="false" customWidth="true" hidden="false" outlineLevel="0" max="18" min="16" style="1" width="12.09"/>
    <col collapsed="false" customWidth="true" hidden="false" outlineLevel="0" max="19" min="19" style="1" width="17.09"/>
  </cols>
  <sheetData>
    <row r="1" customFormat="false" ht="32.25" hidden="false" customHeight="true" outlineLevel="0" collapsed="false">
      <c r="A1" s="14" t="s">
        <v>122</v>
      </c>
      <c r="B1" s="14" t="s">
        <v>123</v>
      </c>
      <c r="C1" s="14" t="s">
        <v>124</v>
      </c>
      <c r="D1" s="14" t="s">
        <v>125</v>
      </c>
      <c r="E1" s="14" t="s">
        <v>126</v>
      </c>
      <c r="F1" s="199" t="s">
        <v>340</v>
      </c>
      <c r="G1" s="199" t="s">
        <v>341</v>
      </c>
      <c r="H1" s="199" t="s">
        <v>342</v>
      </c>
      <c r="I1" s="199" t="s">
        <v>343</v>
      </c>
      <c r="J1" s="199" t="s">
        <v>344</v>
      </c>
      <c r="K1" s="199" t="s">
        <v>345</v>
      </c>
      <c r="L1" s="192" t="s">
        <v>346</v>
      </c>
      <c r="M1" s="199" t="s">
        <v>347</v>
      </c>
      <c r="N1" s="199" t="s">
        <v>348</v>
      </c>
      <c r="O1" s="199" t="s">
        <v>349</v>
      </c>
      <c r="P1" s="199" t="s">
        <v>350</v>
      </c>
      <c r="Q1" s="199" t="s">
        <v>351</v>
      </c>
      <c r="R1" s="199" t="s">
        <v>352</v>
      </c>
      <c r="S1" s="192" t="s">
        <v>353</v>
      </c>
    </row>
    <row r="2" customFormat="false" ht="14.25" hidden="false" customHeight="true" outlineLevel="0" collapsed="false">
      <c r="A2" s="115" t="s">
        <v>162</v>
      </c>
      <c r="B2" s="25" t="s">
        <v>278</v>
      </c>
      <c r="C2" s="23" t="s">
        <v>164</v>
      </c>
      <c r="D2" s="24" t="s">
        <v>165</v>
      </c>
      <c r="E2" s="194" t="s">
        <v>166</v>
      </c>
      <c r="F2" s="200" t="n">
        <v>3</v>
      </c>
      <c r="G2" s="200" t="n">
        <v>11</v>
      </c>
      <c r="H2" s="200" t="n">
        <v>2</v>
      </c>
      <c r="I2" s="200" t="n">
        <v>0</v>
      </c>
      <c r="J2" s="200" t="n">
        <v>2</v>
      </c>
      <c r="K2" s="200" t="n">
        <v>0</v>
      </c>
      <c r="L2" s="200" t="n">
        <f aca="false">IFERROR(AVERAGE(F2:K2),0)</f>
        <v>3</v>
      </c>
      <c r="M2" s="200" t="n">
        <v>4</v>
      </c>
      <c r="N2" s="200" t="n">
        <v>5</v>
      </c>
      <c r="O2" s="200" t="n">
        <v>3</v>
      </c>
      <c r="P2" s="200" t="n">
        <v>4</v>
      </c>
      <c r="Q2" s="200" t="n">
        <v>6</v>
      </c>
      <c r="R2" s="200"/>
      <c r="S2" s="200" t="n">
        <f aca="false">IFERROR(AVERAGE(M2:R2),0)</f>
        <v>4.4</v>
      </c>
    </row>
    <row r="3" customFormat="false" ht="14.25" hidden="false" customHeight="true" outlineLevel="0" collapsed="false">
      <c r="A3" s="115" t="s">
        <v>162</v>
      </c>
      <c r="B3" s="25" t="s">
        <v>278</v>
      </c>
      <c r="C3" s="23" t="s">
        <v>164</v>
      </c>
      <c r="D3" s="24" t="s">
        <v>167</v>
      </c>
      <c r="E3" s="194" t="s">
        <v>166</v>
      </c>
      <c r="F3" s="200" t="n">
        <v>0</v>
      </c>
      <c r="G3" s="200" t="n">
        <v>0</v>
      </c>
      <c r="H3" s="200" t="n">
        <v>0</v>
      </c>
      <c r="I3" s="200" t="n">
        <v>0</v>
      </c>
      <c r="J3" s="200" t="n">
        <v>1</v>
      </c>
      <c r="K3" s="200" t="n">
        <v>1</v>
      </c>
      <c r="L3" s="200" t="n">
        <f aca="false">IFERROR(AVERAGE(F3:K3),0)</f>
        <v>0.333333333333333</v>
      </c>
      <c r="M3" s="200" t="n">
        <v>0</v>
      </c>
      <c r="N3" s="200" t="n">
        <v>0</v>
      </c>
      <c r="O3" s="200" t="n">
        <v>0</v>
      </c>
      <c r="P3" s="200" t="n">
        <v>0</v>
      </c>
      <c r="Q3" s="200" t="n">
        <v>0</v>
      </c>
      <c r="R3" s="200"/>
      <c r="S3" s="200" t="n">
        <f aca="false">IFERROR(AVERAGE(M3:R3),0)</f>
        <v>0</v>
      </c>
    </row>
    <row r="4" customFormat="false" ht="14.25" hidden="false" customHeight="true" outlineLevel="0" collapsed="false">
      <c r="A4" s="115" t="s">
        <v>162</v>
      </c>
      <c r="B4" s="25" t="s">
        <v>278</v>
      </c>
      <c r="C4" s="23" t="s">
        <v>168</v>
      </c>
      <c r="D4" s="25" t="s">
        <v>169</v>
      </c>
      <c r="E4" s="194" t="s">
        <v>166</v>
      </c>
      <c r="F4" s="200" t="n">
        <v>27</v>
      </c>
      <c r="G4" s="200" t="n">
        <v>9</v>
      </c>
      <c r="H4" s="200" t="n">
        <v>19</v>
      </c>
      <c r="I4" s="200" t="n">
        <v>15</v>
      </c>
      <c r="J4" s="200" t="n">
        <v>31</v>
      </c>
      <c r="K4" s="200" t="n">
        <v>13</v>
      </c>
      <c r="L4" s="200" t="n">
        <f aca="false">IFERROR(AVERAGE(F4:K4),0)</f>
        <v>19</v>
      </c>
      <c r="M4" s="200" t="n">
        <v>3</v>
      </c>
      <c r="N4" s="200" t="n">
        <v>2</v>
      </c>
      <c r="O4" s="200" t="n">
        <v>7</v>
      </c>
      <c r="P4" s="200" t="n">
        <v>10</v>
      </c>
      <c r="Q4" s="200" t="n">
        <v>16</v>
      </c>
      <c r="R4" s="200" t="n">
        <v>11</v>
      </c>
      <c r="S4" s="200" t="n">
        <f aca="false">IFERROR(AVERAGE(M4:R4),0)</f>
        <v>8.16666666666667</v>
      </c>
    </row>
    <row r="5" customFormat="false" ht="14.25" hidden="false" customHeight="true" outlineLevel="0" collapsed="false">
      <c r="A5" s="115" t="s">
        <v>162</v>
      </c>
      <c r="B5" s="25" t="s">
        <v>278</v>
      </c>
      <c r="C5" s="23" t="s">
        <v>168</v>
      </c>
      <c r="D5" s="31" t="s">
        <v>170</v>
      </c>
      <c r="E5" s="194" t="s">
        <v>166</v>
      </c>
      <c r="F5" s="200"/>
      <c r="G5" s="200"/>
      <c r="H5" s="200"/>
      <c r="I5" s="200"/>
      <c r="J5" s="200" t="n">
        <v>0</v>
      </c>
      <c r="K5" s="200" t="n">
        <v>0</v>
      </c>
      <c r="L5" s="200" t="n">
        <f aca="false">IFERROR(AVERAGE(F5:K5),0)</f>
        <v>0</v>
      </c>
      <c r="M5" s="200" t="n">
        <f aca="false">IFERROR(AVERAGE(G5:L5),0)</f>
        <v>0</v>
      </c>
      <c r="N5" s="200" t="n">
        <f aca="false">IFERROR(AVERAGE(H5:M5),0)</f>
        <v>0</v>
      </c>
      <c r="O5" s="200" t="n">
        <f aca="false">IFERROR(AVERAGE(I5:N5),0)</f>
        <v>0</v>
      </c>
      <c r="P5" s="200" t="n">
        <f aca="false">IFERROR(AVERAGE(J5:O5),0)</f>
        <v>0</v>
      </c>
      <c r="Q5" s="200" t="n">
        <f aca="false">IFERROR(AVERAGE(K5:P5),0)</f>
        <v>0</v>
      </c>
      <c r="R5" s="200"/>
      <c r="S5" s="200" t="n">
        <f aca="false">IFERROR(AVERAGE(M5:R5),0)</f>
        <v>0</v>
      </c>
    </row>
    <row r="6" customFormat="false" ht="14.25" hidden="false" customHeight="true" outlineLevel="0" collapsed="false">
      <c r="A6" s="115" t="s">
        <v>162</v>
      </c>
      <c r="B6" s="25" t="s">
        <v>278</v>
      </c>
      <c r="C6" s="23" t="s">
        <v>168</v>
      </c>
      <c r="D6" s="25" t="s">
        <v>171</v>
      </c>
      <c r="E6" s="194" t="s">
        <v>166</v>
      </c>
      <c r="F6" s="200" t="n">
        <v>2</v>
      </c>
      <c r="G6" s="200" t="n">
        <v>0</v>
      </c>
      <c r="H6" s="200" t="n">
        <v>3</v>
      </c>
      <c r="I6" s="200" t="n">
        <v>1</v>
      </c>
      <c r="J6" s="200" t="n">
        <v>0</v>
      </c>
      <c r="K6" s="200" t="n">
        <v>0</v>
      </c>
      <c r="L6" s="200" t="n">
        <f aca="false">IFERROR(AVERAGE(F6:K6),0)</f>
        <v>1</v>
      </c>
      <c r="M6" s="200" t="n">
        <v>0</v>
      </c>
      <c r="N6" s="200" t="n">
        <v>0</v>
      </c>
      <c r="O6" s="200" t="n">
        <v>0</v>
      </c>
      <c r="P6" s="200" t="n">
        <v>0</v>
      </c>
      <c r="Q6" s="200" t="n">
        <v>0</v>
      </c>
      <c r="R6" s="200" t="n">
        <v>1</v>
      </c>
      <c r="S6" s="200" t="n">
        <f aca="false">IFERROR(AVERAGE(M6:R6),0)</f>
        <v>0.166666666666667</v>
      </c>
    </row>
    <row r="7" customFormat="false" ht="14.25" hidden="false" customHeight="true" outlineLevel="0" collapsed="false">
      <c r="A7" s="115" t="s">
        <v>162</v>
      </c>
      <c r="B7" s="25" t="s">
        <v>278</v>
      </c>
      <c r="C7" s="23" t="s">
        <v>168</v>
      </c>
      <c r="D7" s="25" t="s">
        <v>172</v>
      </c>
      <c r="E7" s="194" t="s">
        <v>166</v>
      </c>
      <c r="F7" s="200" t="n">
        <v>2</v>
      </c>
      <c r="G7" s="200" t="n">
        <v>0</v>
      </c>
      <c r="H7" s="200" t="n">
        <v>1</v>
      </c>
      <c r="I7" s="200" t="n">
        <v>3</v>
      </c>
      <c r="J7" s="200" t="n">
        <v>0</v>
      </c>
      <c r="K7" s="200" t="n">
        <v>0</v>
      </c>
      <c r="L7" s="200" t="n">
        <f aca="false">IFERROR(AVERAGE(F7:K7),0)</f>
        <v>1</v>
      </c>
      <c r="M7" s="200" t="n">
        <v>0</v>
      </c>
      <c r="N7" s="200" t="n">
        <v>0</v>
      </c>
      <c r="O7" s="200" t="n">
        <v>1</v>
      </c>
      <c r="P7" s="200" t="n">
        <v>2</v>
      </c>
      <c r="Q7" s="200" t="n">
        <v>3</v>
      </c>
      <c r="R7" s="200" t="n">
        <v>1</v>
      </c>
      <c r="S7" s="200" t="n">
        <f aca="false">IFERROR(AVERAGE(M7:R7),0)</f>
        <v>1.16666666666667</v>
      </c>
    </row>
    <row r="8" customFormat="false" ht="14.25" hidden="false" customHeight="true" outlineLevel="0" collapsed="false">
      <c r="A8" s="115" t="s">
        <v>162</v>
      </c>
      <c r="B8" s="25" t="s">
        <v>278</v>
      </c>
      <c r="C8" s="23" t="s">
        <v>168</v>
      </c>
      <c r="D8" s="25" t="s">
        <v>173</v>
      </c>
      <c r="E8" s="194" t="s">
        <v>166</v>
      </c>
      <c r="F8" s="200" t="n">
        <v>0</v>
      </c>
      <c r="G8" s="200" t="n">
        <v>0</v>
      </c>
      <c r="H8" s="200" t="n">
        <v>0</v>
      </c>
      <c r="I8" s="200" t="n">
        <v>0</v>
      </c>
      <c r="J8" s="200" t="n">
        <v>1</v>
      </c>
      <c r="K8" s="200" t="n">
        <v>1</v>
      </c>
      <c r="L8" s="200" t="n">
        <f aca="false">IFERROR(AVERAGE(F8:K8),0)</f>
        <v>0.333333333333333</v>
      </c>
      <c r="M8" s="200" t="n">
        <v>2</v>
      </c>
      <c r="N8" s="200" t="n">
        <v>0</v>
      </c>
      <c r="O8" s="200" t="n">
        <v>2</v>
      </c>
      <c r="P8" s="200" t="n">
        <v>0</v>
      </c>
      <c r="Q8" s="200" t="n">
        <v>0</v>
      </c>
      <c r="R8" s="200" t="n">
        <v>0</v>
      </c>
      <c r="S8" s="200" t="n">
        <f aca="false">IFERROR(AVERAGE(M8:R8),0)</f>
        <v>0.666666666666667</v>
      </c>
    </row>
    <row r="9" customFormat="false" ht="14.25" hidden="false" customHeight="true" outlineLevel="0" collapsed="false">
      <c r="A9" s="115" t="s">
        <v>162</v>
      </c>
      <c r="B9" s="25" t="s">
        <v>278</v>
      </c>
      <c r="C9" s="23" t="s">
        <v>164</v>
      </c>
      <c r="D9" s="34" t="s">
        <v>174</v>
      </c>
      <c r="E9" s="194" t="s">
        <v>166</v>
      </c>
      <c r="F9" s="200" t="n">
        <v>5</v>
      </c>
      <c r="G9" s="200" t="n">
        <v>7</v>
      </c>
      <c r="H9" s="200" t="n">
        <v>9</v>
      </c>
      <c r="I9" s="200" t="n">
        <v>24</v>
      </c>
      <c r="J9" s="200" t="n">
        <v>28</v>
      </c>
      <c r="K9" s="200" t="n">
        <v>81</v>
      </c>
      <c r="L9" s="200" t="n">
        <f aca="false">IFERROR(AVERAGE(F9:K9),0)</f>
        <v>25.6666666666667</v>
      </c>
      <c r="M9" s="200" t="n">
        <v>22</v>
      </c>
      <c r="N9" s="200" t="n">
        <v>7</v>
      </c>
      <c r="O9" s="200" t="n">
        <v>3</v>
      </c>
      <c r="P9" s="200" t="n">
        <v>8</v>
      </c>
      <c r="Q9" s="200" t="n">
        <v>8</v>
      </c>
      <c r="R9" s="200" t="n">
        <v>8</v>
      </c>
      <c r="S9" s="200" t="n">
        <f aca="false">IFERROR(AVERAGE(M9:R9),0)</f>
        <v>9.33333333333333</v>
      </c>
    </row>
    <row r="10" customFormat="false" ht="14.25" hidden="false" customHeight="true" outlineLevel="0" collapsed="false">
      <c r="A10" s="115" t="s">
        <v>162</v>
      </c>
      <c r="B10" s="25" t="s">
        <v>278</v>
      </c>
      <c r="C10" s="23" t="s">
        <v>164</v>
      </c>
      <c r="D10" s="34" t="s">
        <v>175</v>
      </c>
      <c r="E10" s="194" t="s">
        <v>176</v>
      </c>
      <c r="F10" s="200"/>
      <c r="G10" s="200"/>
      <c r="H10" s="200"/>
      <c r="I10" s="200"/>
      <c r="J10" s="200"/>
      <c r="K10" s="200"/>
      <c r="L10" s="200" t="n">
        <f aca="false">IFERROR(AVERAGE(F10:K10),0)</f>
        <v>0</v>
      </c>
      <c r="M10" s="200"/>
      <c r="N10" s="200"/>
      <c r="O10" s="200"/>
      <c r="P10" s="200"/>
      <c r="Q10" s="200"/>
      <c r="R10" s="200"/>
      <c r="S10" s="200" t="n">
        <f aca="false">IFERROR(AVERAGE(M10:R10),0)</f>
        <v>0</v>
      </c>
    </row>
    <row r="11" customFormat="false" ht="14.25" hidden="false" customHeight="true" outlineLevel="0" collapsed="false">
      <c r="A11" s="115" t="s">
        <v>162</v>
      </c>
      <c r="B11" s="25" t="s">
        <v>278</v>
      </c>
      <c r="C11" s="23" t="s">
        <v>164</v>
      </c>
      <c r="D11" s="34" t="s">
        <v>178</v>
      </c>
      <c r="E11" s="194" t="s">
        <v>166</v>
      </c>
      <c r="F11" s="200" t="n">
        <v>4</v>
      </c>
      <c r="G11" s="200" t="n">
        <v>2</v>
      </c>
      <c r="H11" s="200" t="n">
        <v>12</v>
      </c>
      <c r="I11" s="200" t="n">
        <v>5</v>
      </c>
      <c r="J11" s="200" t="n">
        <v>5</v>
      </c>
      <c r="K11" s="200" t="n">
        <v>19</v>
      </c>
      <c r="L11" s="200" t="n">
        <f aca="false">IFERROR(AVERAGE(F11:K11),0)</f>
        <v>7.83333333333333</v>
      </c>
      <c r="M11" s="200" t="n">
        <v>17</v>
      </c>
      <c r="N11" s="200" t="n">
        <v>8</v>
      </c>
      <c r="O11" s="200" t="n">
        <v>14</v>
      </c>
      <c r="P11" s="200" t="n">
        <v>12</v>
      </c>
      <c r="Q11" s="200" t="n">
        <v>33</v>
      </c>
      <c r="R11" s="200" t="n">
        <v>19</v>
      </c>
      <c r="S11" s="200" t="n">
        <f aca="false">IFERROR(AVERAGE(M11:R11),0)</f>
        <v>17.1666666666667</v>
      </c>
    </row>
    <row r="12" customFormat="false" ht="14.25" hidden="false" customHeight="true" outlineLevel="0" collapsed="false">
      <c r="A12" s="115" t="s">
        <v>162</v>
      </c>
      <c r="B12" s="25" t="s">
        <v>278</v>
      </c>
      <c r="C12" s="23" t="s">
        <v>164</v>
      </c>
      <c r="D12" s="34" t="s">
        <v>179</v>
      </c>
      <c r="E12" s="194" t="s">
        <v>166</v>
      </c>
      <c r="F12" s="200" t="n">
        <v>6</v>
      </c>
      <c r="G12" s="200" t="n">
        <v>18</v>
      </c>
      <c r="H12" s="200" t="n">
        <v>19</v>
      </c>
      <c r="I12" s="200" t="n">
        <v>21</v>
      </c>
      <c r="J12" s="200" t="n">
        <v>18</v>
      </c>
      <c r="K12" s="200" t="n">
        <v>9</v>
      </c>
      <c r="L12" s="200" t="n">
        <f aca="false">IFERROR(AVERAGE(F12:K12),0)</f>
        <v>15.1666666666667</v>
      </c>
      <c r="M12" s="200" t="n">
        <v>10</v>
      </c>
      <c r="N12" s="200" t="n">
        <v>13</v>
      </c>
      <c r="O12" s="200" t="n">
        <v>9</v>
      </c>
      <c r="P12" s="200" t="n">
        <v>15</v>
      </c>
      <c r="Q12" s="200" t="n">
        <v>11</v>
      </c>
      <c r="R12" s="200" t="n">
        <v>15</v>
      </c>
      <c r="S12" s="200" t="n">
        <f aca="false">IFERROR(AVERAGE(M12:R12),0)</f>
        <v>12.1666666666667</v>
      </c>
    </row>
    <row r="13" customFormat="false" ht="14.25" hidden="false" customHeight="true" outlineLevel="0" collapsed="false">
      <c r="A13" s="115" t="s">
        <v>162</v>
      </c>
      <c r="B13" s="25" t="s">
        <v>278</v>
      </c>
      <c r="C13" s="23" t="s">
        <v>164</v>
      </c>
      <c r="D13" s="34" t="s">
        <v>180</v>
      </c>
      <c r="E13" s="194" t="s">
        <v>166</v>
      </c>
      <c r="F13" s="200" t="n">
        <v>3</v>
      </c>
      <c r="G13" s="200" t="n">
        <v>4</v>
      </c>
      <c r="H13" s="200" t="n">
        <v>10</v>
      </c>
      <c r="I13" s="200" t="n">
        <v>8</v>
      </c>
      <c r="J13" s="200" t="n">
        <v>9</v>
      </c>
      <c r="K13" s="200" t="n">
        <v>14</v>
      </c>
      <c r="L13" s="200" t="n">
        <f aca="false">IFERROR(AVERAGE(F13:K13),0)</f>
        <v>8</v>
      </c>
      <c r="M13" s="200" t="n">
        <v>8</v>
      </c>
      <c r="N13" s="200" t="n">
        <v>9</v>
      </c>
      <c r="O13" s="200" t="n">
        <v>3</v>
      </c>
      <c r="P13" s="200" t="n">
        <v>11</v>
      </c>
      <c r="Q13" s="200" t="n">
        <v>10</v>
      </c>
      <c r="R13" s="200" t="n">
        <v>14</v>
      </c>
      <c r="S13" s="200" t="n">
        <f aca="false">IFERROR(AVERAGE(M13:R13),0)</f>
        <v>9.16666666666667</v>
      </c>
    </row>
    <row r="14" customFormat="false" ht="14.25" hidden="false" customHeight="true" outlineLevel="0" collapsed="false">
      <c r="A14" s="115" t="s">
        <v>162</v>
      </c>
      <c r="B14" s="25" t="s">
        <v>181</v>
      </c>
      <c r="C14" s="48" t="s">
        <v>182</v>
      </c>
      <c r="D14" s="49" t="s">
        <v>183</v>
      </c>
      <c r="E14" s="194" t="s">
        <v>166</v>
      </c>
      <c r="F14" s="200" t="n">
        <v>6</v>
      </c>
      <c r="G14" s="200" t="n">
        <v>4</v>
      </c>
      <c r="H14" s="200" t="n">
        <v>6</v>
      </c>
      <c r="I14" s="200" t="n">
        <v>3</v>
      </c>
      <c r="J14" s="200" t="n">
        <v>1</v>
      </c>
      <c r="K14" s="200" t="n">
        <v>2</v>
      </c>
      <c r="L14" s="200" t="n">
        <f aca="false">IFERROR(AVERAGE(F14:K14),0)</f>
        <v>3.66666666666667</v>
      </c>
      <c r="M14" s="200" t="n">
        <v>4</v>
      </c>
      <c r="N14" s="200" t="n">
        <v>3</v>
      </c>
      <c r="O14" s="200" t="n">
        <v>4</v>
      </c>
      <c r="P14" s="200" t="n">
        <v>0</v>
      </c>
      <c r="Q14" s="200" t="n">
        <v>3</v>
      </c>
      <c r="R14" s="200"/>
      <c r="S14" s="200" t="n">
        <f aca="false">IFERROR(AVERAGE(M14:R14),0)</f>
        <v>2.8</v>
      </c>
    </row>
    <row r="15" customFormat="false" ht="14.25" hidden="false" customHeight="true" outlineLevel="0" collapsed="false">
      <c r="A15" s="115" t="s">
        <v>162</v>
      </c>
      <c r="B15" s="25" t="s">
        <v>181</v>
      </c>
      <c r="C15" s="48" t="s">
        <v>182</v>
      </c>
      <c r="D15" s="49" t="s">
        <v>184</v>
      </c>
      <c r="E15" s="194" t="s">
        <v>166</v>
      </c>
      <c r="F15" s="200" t="n">
        <v>0</v>
      </c>
      <c r="G15" s="200" t="n">
        <v>0</v>
      </c>
      <c r="H15" s="200" t="n">
        <v>0</v>
      </c>
      <c r="I15" s="200" t="n">
        <v>0</v>
      </c>
      <c r="J15" s="200" t="n">
        <v>0</v>
      </c>
      <c r="K15" s="200" t="n">
        <v>0</v>
      </c>
      <c r="L15" s="200" t="n">
        <f aca="false">IFERROR(AVERAGE(F15:K15),0)</f>
        <v>0</v>
      </c>
      <c r="M15" s="200" t="n">
        <v>0</v>
      </c>
      <c r="N15" s="200" t="n">
        <v>0</v>
      </c>
      <c r="O15" s="200" t="n">
        <v>0</v>
      </c>
      <c r="P15" s="200" t="n">
        <v>0</v>
      </c>
      <c r="Q15" s="200" t="n">
        <v>0</v>
      </c>
      <c r="R15" s="200"/>
      <c r="S15" s="200" t="n">
        <f aca="false">IFERROR(AVERAGE(M15:R15),0)</f>
        <v>0</v>
      </c>
    </row>
    <row r="16" customFormat="false" ht="14.25" hidden="false" customHeight="true" outlineLevel="0" collapsed="false">
      <c r="A16" s="115" t="s">
        <v>162</v>
      </c>
      <c r="B16" s="25" t="s">
        <v>181</v>
      </c>
      <c r="C16" s="48" t="s">
        <v>182</v>
      </c>
      <c r="D16" s="49" t="s">
        <v>185</v>
      </c>
      <c r="E16" s="194" t="s">
        <v>166</v>
      </c>
      <c r="F16" s="200" t="n">
        <v>4</v>
      </c>
      <c r="G16" s="200" t="n">
        <v>3</v>
      </c>
      <c r="H16" s="200" t="n">
        <v>3</v>
      </c>
      <c r="I16" s="200" t="n">
        <v>1</v>
      </c>
      <c r="J16" s="200" t="n">
        <v>1</v>
      </c>
      <c r="K16" s="200" t="n">
        <v>1</v>
      </c>
      <c r="L16" s="200" t="n">
        <f aca="false">IFERROR(AVERAGE(F16:K16),0)</f>
        <v>2.16666666666667</v>
      </c>
      <c r="M16" s="200" t="n">
        <v>1</v>
      </c>
      <c r="N16" s="200" t="n">
        <v>1</v>
      </c>
      <c r="O16" s="200" t="n">
        <v>1</v>
      </c>
      <c r="P16" s="200" t="n">
        <v>1</v>
      </c>
      <c r="Q16" s="200" t="n">
        <v>2</v>
      </c>
      <c r="R16" s="200"/>
      <c r="S16" s="200" t="n">
        <f aca="false">IFERROR(AVERAGE(M16:R16),0)</f>
        <v>1.2</v>
      </c>
    </row>
    <row r="17" customFormat="false" ht="14.25" hidden="false" customHeight="true" outlineLevel="0" collapsed="false">
      <c r="A17" s="115" t="s">
        <v>162</v>
      </c>
      <c r="B17" s="25" t="s">
        <v>181</v>
      </c>
      <c r="C17" s="48" t="s">
        <v>182</v>
      </c>
      <c r="D17" s="49" t="s">
        <v>186</v>
      </c>
      <c r="E17" s="194" t="s">
        <v>166</v>
      </c>
      <c r="F17" s="200" t="n">
        <v>0</v>
      </c>
      <c r="G17" s="200" t="n">
        <v>0</v>
      </c>
      <c r="H17" s="200" t="n">
        <v>2</v>
      </c>
      <c r="I17" s="200" t="n">
        <v>0</v>
      </c>
      <c r="J17" s="200" t="n">
        <v>0</v>
      </c>
      <c r="K17" s="200"/>
      <c r="L17" s="200" t="n">
        <f aca="false">IFERROR(AVERAGE(F17:K17),0)</f>
        <v>0.4</v>
      </c>
      <c r="M17" s="200" t="n">
        <v>0</v>
      </c>
      <c r="N17" s="200" t="n">
        <v>0</v>
      </c>
      <c r="O17" s="200" t="n">
        <v>0</v>
      </c>
      <c r="P17" s="200" t="n">
        <v>0</v>
      </c>
      <c r="Q17" s="200" t="n">
        <v>0</v>
      </c>
      <c r="R17" s="200"/>
      <c r="S17" s="200" t="n">
        <f aca="false">IFERROR(AVERAGE(M17:R17),0)</f>
        <v>0</v>
      </c>
    </row>
    <row r="18" customFormat="false" ht="14.25" hidden="false" customHeight="true" outlineLevel="0" collapsed="false">
      <c r="A18" s="115" t="s">
        <v>162</v>
      </c>
      <c r="B18" s="25" t="s">
        <v>188</v>
      </c>
      <c r="C18" s="23" t="s">
        <v>189</v>
      </c>
      <c r="D18" s="52" t="s">
        <v>190</v>
      </c>
      <c r="E18" s="194" t="s">
        <v>166</v>
      </c>
      <c r="F18" s="200" t="n">
        <v>0</v>
      </c>
      <c r="G18" s="200" t="n">
        <v>2</v>
      </c>
      <c r="H18" s="200" t="n">
        <v>0</v>
      </c>
      <c r="I18" s="200" t="n">
        <v>0</v>
      </c>
      <c r="J18" s="200" t="n">
        <v>1</v>
      </c>
      <c r="K18" s="200" t="n">
        <v>0</v>
      </c>
      <c r="L18" s="200" t="n">
        <f aca="false">IFERROR(AVERAGE(F18:K18),0)</f>
        <v>0.5</v>
      </c>
      <c r="M18" s="200" t="n">
        <v>0</v>
      </c>
      <c r="N18" s="200" t="n">
        <v>0</v>
      </c>
      <c r="O18" s="200" t="n">
        <v>0</v>
      </c>
      <c r="P18" s="200" t="n">
        <v>0</v>
      </c>
      <c r="Q18" s="200" t="n">
        <v>0</v>
      </c>
      <c r="R18" s="200" t="n">
        <v>0</v>
      </c>
      <c r="S18" s="200" t="n">
        <f aca="false">IFERROR(AVERAGE(M18:R18),0)</f>
        <v>0</v>
      </c>
    </row>
    <row r="19" customFormat="false" ht="14.25" hidden="false" customHeight="true" outlineLevel="0" collapsed="false">
      <c r="A19" s="115" t="s">
        <v>162</v>
      </c>
      <c r="B19" s="25" t="s">
        <v>188</v>
      </c>
      <c r="C19" s="23" t="s">
        <v>189</v>
      </c>
      <c r="D19" s="52" t="s">
        <v>191</v>
      </c>
      <c r="E19" s="194" t="s">
        <v>166</v>
      </c>
      <c r="F19" s="200" t="n">
        <v>0</v>
      </c>
      <c r="G19" s="200" t="n">
        <v>0</v>
      </c>
      <c r="H19" s="200" t="n">
        <v>0</v>
      </c>
      <c r="I19" s="200" t="n">
        <v>0</v>
      </c>
      <c r="J19" s="200" t="n">
        <v>0</v>
      </c>
      <c r="K19" s="200" t="n">
        <v>0</v>
      </c>
      <c r="L19" s="200" t="n">
        <f aca="false">IFERROR(AVERAGE(F19:K19),0)</f>
        <v>0</v>
      </c>
      <c r="M19" s="200" t="n">
        <v>0</v>
      </c>
      <c r="N19" s="200" t="n">
        <v>0</v>
      </c>
      <c r="O19" s="200" t="n">
        <v>0</v>
      </c>
      <c r="P19" s="200" t="n">
        <v>0</v>
      </c>
      <c r="Q19" s="200" t="n">
        <v>0</v>
      </c>
      <c r="R19" s="200" t="n">
        <v>0</v>
      </c>
      <c r="S19" s="200" t="n">
        <f aca="false">IFERROR(AVERAGE(M19:R19),0)</f>
        <v>0</v>
      </c>
    </row>
    <row r="20" customFormat="false" ht="14.25" hidden="false" customHeight="true" outlineLevel="0" collapsed="false">
      <c r="A20" s="115" t="s">
        <v>162</v>
      </c>
      <c r="B20" s="25" t="s">
        <v>188</v>
      </c>
      <c r="C20" s="23" t="s">
        <v>189</v>
      </c>
      <c r="D20" s="53" t="s">
        <v>192</v>
      </c>
      <c r="E20" s="194" t="s">
        <v>166</v>
      </c>
      <c r="F20" s="200" t="n">
        <v>0</v>
      </c>
      <c r="G20" s="200" t="n">
        <v>6</v>
      </c>
      <c r="H20" s="200" t="n">
        <v>0</v>
      </c>
      <c r="I20" s="200" t="n">
        <v>0</v>
      </c>
      <c r="J20" s="200" t="n">
        <v>0</v>
      </c>
      <c r="K20" s="200" t="n">
        <v>0</v>
      </c>
      <c r="L20" s="200" t="n">
        <f aca="false">IFERROR(AVERAGE(F20:K20),0)</f>
        <v>1</v>
      </c>
      <c r="M20" s="200" t="n">
        <v>0</v>
      </c>
      <c r="N20" s="200" t="n">
        <v>0</v>
      </c>
      <c r="O20" s="200" t="n">
        <v>0</v>
      </c>
      <c r="P20" s="200" t="n">
        <v>0</v>
      </c>
      <c r="Q20" s="200" t="n">
        <v>0</v>
      </c>
      <c r="R20" s="200" t="n">
        <v>0</v>
      </c>
      <c r="S20" s="200" t="n">
        <f aca="false">IFERROR(AVERAGE(M20:R20),0)</f>
        <v>0</v>
      </c>
    </row>
    <row r="21" customFormat="false" ht="14.25" hidden="false" customHeight="true" outlineLevel="0" collapsed="false">
      <c r="A21" s="115" t="s">
        <v>162</v>
      </c>
      <c r="B21" s="25" t="s">
        <v>188</v>
      </c>
      <c r="C21" s="23" t="s">
        <v>193</v>
      </c>
      <c r="D21" s="49" t="s">
        <v>194</v>
      </c>
      <c r="E21" s="194" t="s">
        <v>166</v>
      </c>
      <c r="F21" s="200"/>
      <c r="G21" s="200"/>
      <c r="H21" s="200"/>
      <c r="I21" s="200"/>
      <c r="J21" s="200"/>
      <c r="K21" s="200"/>
      <c r="L21" s="200" t="n">
        <f aca="false">IFERROR(AVERAGE(F21:K21),0)</f>
        <v>0</v>
      </c>
      <c r="M21" s="200" t="n">
        <v>0</v>
      </c>
      <c r="N21" s="200" t="n">
        <v>0</v>
      </c>
      <c r="O21" s="200" t="n">
        <v>0</v>
      </c>
      <c r="P21" s="200" t="n">
        <v>0</v>
      </c>
      <c r="Q21" s="200" t="n">
        <v>0</v>
      </c>
      <c r="R21" s="200"/>
      <c r="S21" s="200" t="n">
        <f aca="false">IFERROR(AVERAGE(M21:R21),0)</f>
        <v>0</v>
      </c>
    </row>
    <row r="22" customFormat="false" ht="14.25" hidden="false" customHeight="true" outlineLevel="0" collapsed="false">
      <c r="A22" s="161" t="s">
        <v>162</v>
      </c>
      <c r="B22" s="25" t="s">
        <v>278</v>
      </c>
      <c r="C22" s="23" t="s">
        <v>164</v>
      </c>
      <c r="D22" s="162" t="s">
        <v>195</v>
      </c>
      <c r="E22" s="194" t="s">
        <v>176</v>
      </c>
      <c r="F22" s="200"/>
      <c r="G22" s="200"/>
      <c r="H22" s="200"/>
      <c r="I22" s="200"/>
      <c r="J22" s="200"/>
      <c r="K22" s="200"/>
      <c r="L22" s="200" t="n">
        <f aca="false">IFERROR(AVERAGE(F22:K22),0)</f>
        <v>0</v>
      </c>
      <c r="M22" s="200"/>
      <c r="N22" s="200"/>
      <c r="O22" s="200"/>
      <c r="P22" s="200"/>
      <c r="Q22" s="200"/>
      <c r="R22" s="200"/>
      <c r="S22" s="200" t="n">
        <f aca="false">IFERROR(AVERAGE(M22:R22),0)</f>
        <v>0</v>
      </c>
    </row>
    <row r="23" customFormat="false" ht="14.25" hidden="false" customHeight="true" outlineLevel="0" collapsed="false">
      <c r="A23" s="161" t="s">
        <v>162</v>
      </c>
      <c r="B23" s="25" t="s">
        <v>188</v>
      </c>
      <c r="C23" s="55" t="s">
        <v>196</v>
      </c>
      <c r="D23" s="56" t="s">
        <v>197</v>
      </c>
      <c r="E23" s="194" t="s">
        <v>166</v>
      </c>
      <c r="F23" s="200"/>
      <c r="G23" s="200"/>
      <c r="H23" s="200"/>
      <c r="I23" s="200"/>
      <c r="J23" s="200"/>
      <c r="K23" s="200"/>
      <c r="L23" s="200" t="n">
        <f aca="false">IFERROR(AVERAGE(F23:K23),0)</f>
        <v>0</v>
      </c>
      <c r="M23" s="200"/>
      <c r="N23" s="200"/>
      <c r="O23" s="200" t="n">
        <v>0</v>
      </c>
      <c r="P23" s="200" t="n">
        <v>0</v>
      </c>
      <c r="Q23" s="200" t="n">
        <v>0</v>
      </c>
      <c r="R23" s="200" t="n">
        <v>0</v>
      </c>
      <c r="S23" s="200" t="n">
        <f aca="false">IFERROR(AVERAGE(M23:R23),0)</f>
        <v>0</v>
      </c>
    </row>
    <row r="24" customFormat="false" ht="14.25" hidden="false" customHeight="true" outlineLevel="0" collapsed="false">
      <c r="A24" s="161" t="s">
        <v>162</v>
      </c>
      <c r="B24" s="25" t="s">
        <v>188</v>
      </c>
      <c r="C24" s="55" t="s">
        <v>196</v>
      </c>
      <c r="D24" s="56" t="s">
        <v>198</v>
      </c>
      <c r="E24" s="194" t="s">
        <v>166</v>
      </c>
      <c r="F24" s="200"/>
      <c r="G24" s="200"/>
      <c r="H24" s="200"/>
      <c r="I24" s="200"/>
      <c r="J24" s="200"/>
      <c r="K24" s="200"/>
      <c r="L24" s="200" t="n">
        <f aca="false">IFERROR(AVERAGE(F24:K24),0)</f>
        <v>0</v>
      </c>
      <c r="M24" s="200"/>
      <c r="N24" s="200"/>
      <c r="O24" s="200" t="n">
        <v>0</v>
      </c>
      <c r="P24" s="200" t="n">
        <v>0</v>
      </c>
      <c r="Q24" s="200" t="n">
        <v>0</v>
      </c>
      <c r="R24" s="200" t="n">
        <v>0</v>
      </c>
      <c r="S24" s="200" t="n">
        <f aca="false">IFERROR(AVERAGE(M24:R24),0)</f>
        <v>0</v>
      </c>
    </row>
    <row r="25" customFormat="false" ht="14.25" hidden="false" customHeight="true" outlineLevel="0" collapsed="false">
      <c r="A25" s="161" t="s">
        <v>162</v>
      </c>
      <c r="B25" s="25" t="s">
        <v>188</v>
      </c>
      <c r="C25" s="55" t="s">
        <v>196</v>
      </c>
      <c r="D25" s="56" t="s">
        <v>199</v>
      </c>
      <c r="E25" s="194" t="s">
        <v>166</v>
      </c>
      <c r="F25" s="200"/>
      <c r="G25" s="200"/>
      <c r="H25" s="200"/>
      <c r="I25" s="200"/>
      <c r="J25" s="200"/>
      <c r="K25" s="200"/>
      <c r="L25" s="200" t="n">
        <f aca="false">IFERROR(AVERAGE(F25:K25),0)</f>
        <v>0</v>
      </c>
      <c r="M25" s="200"/>
      <c r="N25" s="200"/>
      <c r="O25" s="200"/>
      <c r="P25" s="200"/>
      <c r="Q25" s="200"/>
      <c r="R25" s="200"/>
      <c r="S25" s="200" t="n">
        <f aca="false">IFERROR(AVERAGE(M25:R25),0)</f>
        <v>0</v>
      </c>
    </row>
    <row r="26" customFormat="false" ht="14.25" hidden="false" customHeight="true" outlineLevel="0" collapsed="false">
      <c r="A26" s="161" t="s">
        <v>162</v>
      </c>
      <c r="B26" s="65" t="s">
        <v>200</v>
      </c>
      <c r="C26" s="60"/>
      <c r="D26" s="56"/>
      <c r="E26" s="194"/>
      <c r="F26" s="200"/>
      <c r="G26" s="200"/>
      <c r="H26" s="200"/>
      <c r="I26" s="200"/>
      <c r="J26" s="200"/>
      <c r="K26" s="200"/>
      <c r="L26" s="190"/>
      <c r="M26" s="200"/>
      <c r="N26" s="200"/>
      <c r="O26" s="200"/>
      <c r="P26" s="200"/>
      <c r="Q26" s="200"/>
      <c r="R26" s="200"/>
      <c r="S26" s="200" t="n">
        <f aca="false">IFERROR(AVERAGE(M26:R26),0)</f>
        <v>0</v>
      </c>
    </row>
    <row r="27" customFormat="false" ht="14.25" hidden="false" customHeight="true" outlineLevel="0" collapsed="false">
      <c r="A27" s="161" t="s">
        <v>162</v>
      </c>
      <c r="B27" s="65" t="s">
        <v>200</v>
      </c>
      <c r="C27" s="63"/>
      <c r="D27" s="56"/>
      <c r="E27" s="194"/>
      <c r="F27" s="200"/>
      <c r="G27" s="200"/>
      <c r="H27" s="200"/>
      <c r="I27" s="200"/>
      <c r="J27" s="200"/>
      <c r="K27" s="200"/>
      <c r="L27" s="74"/>
      <c r="M27" s="200"/>
      <c r="N27" s="200"/>
      <c r="O27" s="200"/>
      <c r="P27" s="200"/>
      <c r="Q27" s="200"/>
      <c r="R27" s="200"/>
      <c r="S27" s="200" t="n">
        <f aca="false">IFERROR(AVERAGE(M27:R27),0)</f>
        <v>0</v>
      </c>
    </row>
    <row r="28" customFormat="false" ht="14.25" hidden="false" customHeight="true" outlineLevel="0" collapsed="false">
      <c r="A28" s="115" t="s">
        <v>162</v>
      </c>
      <c r="B28" s="25" t="s">
        <v>181</v>
      </c>
      <c r="C28" s="48" t="s">
        <v>182</v>
      </c>
      <c r="D28" s="49" t="s">
        <v>203</v>
      </c>
      <c r="E28" s="194" t="s">
        <v>166</v>
      </c>
      <c r="F28" s="200"/>
      <c r="G28" s="200"/>
      <c r="H28" s="200"/>
      <c r="I28" s="200"/>
      <c r="J28" s="200"/>
      <c r="K28" s="200"/>
      <c r="L28" s="74"/>
      <c r="M28" s="200"/>
      <c r="N28" s="200"/>
      <c r="O28" s="200" t="n">
        <v>0</v>
      </c>
      <c r="P28" s="200" t="n">
        <v>0</v>
      </c>
      <c r="Q28" s="200" t="n">
        <v>0</v>
      </c>
      <c r="R28" s="200"/>
      <c r="S28" s="200" t="n">
        <f aca="false">IFERROR(AVERAGE(M28:R28),0)</f>
        <v>0</v>
      </c>
    </row>
    <row r="29" customFormat="false" ht="14.25" hidden="false" customHeight="true" outlineLevel="0" collapsed="false">
      <c r="A29" s="161" t="s">
        <v>162</v>
      </c>
      <c r="B29" s="65"/>
      <c r="C29" s="25"/>
      <c r="D29" s="56"/>
      <c r="E29" s="65"/>
    </row>
    <row r="30" customFormat="false" ht="14.25" hidden="false" customHeight="true" outlineLevel="0" collapsed="false">
      <c r="A30" s="161" t="s">
        <v>162</v>
      </c>
      <c r="B30" s="65"/>
      <c r="C30" s="25"/>
      <c r="D30" s="56"/>
      <c r="E30" s="65"/>
    </row>
    <row r="31" customFormat="false" ht="14.25" hidden="false" customHeight="true" outlineLevel="0" collapsed="false">
      <c r="A31" s="161" t="s">
        <v>162</v>
      </c>
      <c r="B31" s="65"/>
      <c r="C31" s="65"/>
      <c r="D31" s="56"/>
      <c r="E31" s="65"/>
    </row>
    <row r="32" customFormat="false" ht="14.25" hidden="false" customHeight="true" outlineLevel="0" collapsed="false">
      <c r="A32" s="161" t="s">
        <v>162</v>
      </c>
      <c r="B32" s="65"/>
      <c r="C32" s="65"/>
      <c r="D32" s="56"/>
      <c r="E32" s="65"/>
    </row>
  </sheetData>
  <autoFilter ref="A1:S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8.5390625" defaultRowHeight="14.25" zeroHeight="false" outlineLevelRow="0" outlineLevelCol="0"/>
  <cols>
    <col collapsed="false" customWidth="true" hidden="false" outlineLevel="0" max="1" min="1" style="1" width="17.91"/>
    <col collapsed="false" customWidth="true" hidden="false" outlineLevel="0" max="2" min="2" style="1" width="11.63"/>
    <col collapsed="false" customWidth="true" hidden="false" outlineLevel="0" max="3" min="3" style="1" width="12.63"/>
  </cols>
  <sheetData>
    <row r="1" customFormat="false" ht="14.25" hidden="false" customHeight="true" outlineLevel="0" collapsed="false">
      <c r="A1" s="1" t="s">
        <v>126</v>
      </c>
      <c r="B1" s="73" t="s">
        <v>166</v>
      </c>
    </row>
    <row r="3" customFormat="false" ht="14.25" hidden="false" customHeight="true" outlineLevel="0" collapsed="false">
      <c r="A3" s="75" t="s">
        <v>208</v>
      </c>
      <c r="B3" s="76" t="s">
        <v>211</v>
      </c>
      <c r="C3" s="78" t="s">
        <v>212</v>
      </c>
    </row>
    <row r="4" customFormat="false" ht="14.25" hidden="false" customHeight="true" outlineLevel="0" collapsed="false">
      <c r="A4" s="166" t="s">
        <v>278</v>
      </c>
      <c r="B4" s="201" t="n">
        <v>7.39393939393939</v>
      </c>
      <c r="C4" s="202" t="n">
        <v>5.67272727272727</v>
      </c>
    </row>
    <row r="5" customFormat="false" ht="14.25" hidden="false" customHeight="true" outlineLevel="0" collapsed="false">
      <c r="A5" s="166" t="s">
        <v>181</v>
      </c>
      <c r="B5" s="201" t="n">
        <v>1.55833333333333</v>
      </c>
      <c r="C5" s="202" t="n">
        <v>0.8</v>
      </c>
    </row>
    <row r="6" customFormat="false" ht="14.25" hidden="false" customHeight="true" outlineLevel="0" collapsed="false">
      <c r="A6" s="166" t="s">
        <v>188</v>
      </c>
      <c r="B6" s="201" t="n">
        <v>0.214285714285714</v>
      </c>
      <c r="C6" s="202" t="n">
        <v>0</v>
      </c>
    </row>
    <row r="7" customFormat="false" ht="14.25" hidden="false" customHeight="true" outlineLevel="0" collapsed="false">
      <c r="A7" s="98" t="s">
        <v>214</v>
      </c>
      <c r="B7" s="203" t="n">
        <v>4.04848484848485</v>
      </c>
      <c r="C7" s="204" t="n">
        <v>2.88695652173913</v>
      </c>
    </row>
    <row r="8"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5390625" defaultRowHeight="14.25" zeroHeight="false" outlineLevelRow="0" outlineLevelCol="0"/>
  <cols>
    <col collapsed="false" customWidth="true" hidden="false" outlineLevel="0" max="1" min="1" style="1" width="6.54"/>
    <col collapsed="false" customWidth="true" hidden="false" outlineLevel="0" max="2" min="2" style="1" width="10.91"/>
    <col collapsed="false" customWidth="true" hidden="false" outlineLevel="0" max="3" min="3" style="1" width="7.54"/>
    <col collapsed="false" customWidth="true" hidden="false" outlineLevel="0" max="4" min="4" style="1" width="10.45"/>
    <col collapsed="false" customWidth="true" hidden="false" outlineLevel="0" max="5" min="5" style="1" width="19.09"/>
  </cols>
  <sheetData>
    <row r="1" customFormat="false" ht="14.25" hidden="false" customHeight="true" outlineLevel="0" collapsed="false">
      <c r="A1" s="205" t="s">
        <v>354</v>
      </c>
      <c r="B1" s="206" t="s">
        <v>12</v>
      </c>
      <c r="C1" s="205" t="s">
        <v>14</v>
      </c>
      <c r="D1" s="205" t="s">
        <v>355</v>
      </c>
      <c r="E1" s="205" t="s">
        <v>356</v>
      </c>
      <c r="F1" s="20" t="s">
        <v>357</v>
      </c>
      <c r="G1" s="207" t="s">
        <v>358</v>
      </c>
    </row>
    <row r="2" customFormat="false" ht="14.25" hidden="false" customHeight="true" outlineLevel="0" collapsed="false">
      <c r="A2" s="1" t="s">
        <v>359</v>
      </c>
      <c r="B2" s="86" t="n">
        <v>7.21966902145474</v>
      </c>
      <c r="C2" s="208" t="n">
        <v>1748</v>
      </c>
      <c r="D2" s="208" t="n">
        <v>189</v>
      </c>
      <c r="E2" s="208" t="n">
        <v>131</v>
      </c>
      <c r="F2" s="86" t="n">
        <f aca="false">C2/E2/2</f>
        <v>6.67175572519084</v>
      </c>
      <c r="G2" s="1" t="s">
        <v>360</v>
      </c>
    </row>
    <row r="3" customFormat="false" ht="14.25" hidden="false" customHeight="true" outlineLevel="0" collapsed="false">
      <c r="A3" s="1" t="s">
        <v>361</v>
      </c>
      <c r="B3" s="86" t="n">
        <v>7.1145041862899</v>
      </c>
      <c r="C3" s="208" t="n">
        <v>1747</v>
      </c>
      <c r="D3" s="208" t="n">
        <v>189</v>
      </c>
      <c r="E3" s="208" t="n">
        <v>131</v>
      </c>
      <c r="F3" s="86" t="n">
        <f aca="false">C3/E3/2</f>
        <v>6.66793893129771</v>
      </c>
      <c r="G3" s="1" t="s">
        <v>360</v>
      </c>
    </row>
    <row r="4" customFormat="false" ht="14.25" hidden="false" customHeight="true" outlineLevel="0" collapsed="false">
      <c r="A4" s="1" t="s">
        <v>362</v>
      </c>
      <c r="B4" s="86" t="n">
        <v>6.8252395712359</v>
      </c>
      <c r="C4" s="208" t="n">
        <v>2664.8</v>
      </c>
      <c r="D4" s="208" t="n">
        <v>189</v>
      </c>
      <c r="E4" s="208" t="n">
        <v>131</v>
      </c>
      <c r="F4" s="86" t="n">
        <f aca="false">C4/E4/3</f>
        <v>6.78066157760814</v>
      </c>
      <c r="G4" s="1" t="s">
        <v>360</v>
      </c>
    </row>
    <row r="5" customFormat="false" ht="14.25" hidden="false" customHeight="true" outlineLevel="0" collapsed="false">
      <c r="A5" s="1" t="s">
        <v>363</v>
      </c>
      <c r="B5" s="86" t="n">
        <v>6.69809523809524</v>
      </c>
      <c r="C5" s="208" t="n">
        <v>1672</v>
      </c>
      <c r="D5" s="208" t="n">
        <v>155</v>
      </c>
      <c r="E5" s="208" t="n">
        <v>131</v>
      </c>
      <c r="F5" s="86" t="n">
        <f aca="false">C5/E5/2</f>
        <v>6.38167938931298</v>
      </c>
      <c r="G5" s="1" t="s">
        <v>360</v>
      </c>
    </row>
    <row r="6" customFormat="false" ht="14.25" hidden="false" customHeight="true" outlineLevel="0" collapsed="false">
      <c r="A6" s="1" t="s">
        <v>364</v>
      </c>
      <c r="B6" s="86" t="n">
        <v>7.73952380952381</v>
      </c>
      <c r="C6" s="208" t="n">
        <v>1895.5</v>
      </c>
      <c r="D6" s="208" t="n">
        <v>155</v>
      </c>
      <c r="E6" s="208" t="n">
        <v>131</v>
      </c>
      <c r="F6" s="86" t="n">
        <f aca="false">C6/E6/2</f>
        <v>7.23473282442748</v>
      </c>
      <c r="G6" s="1" t="s">
        <v>360</v>
      </c>
    </row>
    <row r="7" customFormat="false" ht="14.25" hidden="false" customHeight="true" outlineLevel="0" collapsed="false">
      <c r="A7" s="1" t="s">
        <v>365</v>
      </c>
      <c r="B7" s="86" t="n">
        <v>7.25776479334619</v>
      </c>
      <c r="C7" s="208" t="n">
        <v>1846</v>
      </c>
      <c r="D7" s="208" t="n">
        <v>155</v>
      </c>
      <c r="E7" s="208" t="n">
        <v>115</v>
      </c>
      <c r="F7" s="86" t="n">
        <f aca="false">C7/E7/2</f>
        <v>8.02608695652174</v>
      </c>
      <c r="G7" s="1" t="s">
        <v>360</v>
      </c>
    </row>
    <row r="8" customFormat="false" ht="14.25" hidden="false" customHeight="true" outlineLevel="0" collapsed="false">
      <c r="A8" s="1" t="s">
        <v>366</v>
      </c>
      <c r="B8" s="86" t="n">
        <v>7.65141058941059</v>
      </c>
      <c r="C8" s="208" t="n">
        <v>1782.1</v>
      </c>
      <c r="D8" s="208" t="n">
        <v>156</v>
      </c>
      <c r="E8" s="208" t="n">
        <v>115</v>
      </c>
      <c r="F8" s="86" t="n">
        <f aca="false">C8/E8/2</f>
        <v>7.74826086956522</v>
      </c>
      <c r="G8" s="1" t="s">
        <v>360</v>
      </c>
    </row>
    <row r="9" customFormat="false" ht="14.25" hidden="false" customHeight="true" outlineLevel="0" collapsed="false">
      <c r="A9" s="1" t="s">
        <v>367</v>
      </c>
      <c r="B9" s="86" t="n">
        <v>7.69672554834884</v>
      </c>
      <c r="C9" s="208" t="n">
        <v>1785</v>
      </c>
      <c r="D9" s="208" t="n">
        <v>156</v>
      </c>
      <c r="E9" s="208" t="n">
        <v>115</v>
      </c>
      <c r="F9" s="86" t="n">
        <f aca="false">C9/E9/2</f>
        <v>7.76086956521739</v>
      </c>
      <c r="G9" s="1" t="s">
        <v>360</v>
      </c>
    </row>
    <row r="10" customFormat="false" ht="14.25" hidden="false" customHeight="true" outlineLevel="0" collapsed="false">
      <c r="A10" s="1" t="s">
        <v>368</v>
      </c>
      <c r="B10" s="86" t="n">
        <v>7.47228818800247</v>
      </c>
      <c r="C10" s="209" t="n">
        <v>868</v>
      </c>
      <c r="D10" s="208" t="n">
        <v>156</v>
      </c>
      <c r="E10" s="208" t="n">
        <v>115</v>
      </c>
      <c r="F10" s="86" t="n">
        <f aca="false">C10/E10</f>
        <v>7.54782608695652</v>
      </c>
      <c r="G10" s="44" t="s">
        <v>369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5390625" defaultRowHeight="14.25" zeroHeight="false" outlineLevelRow="0" outlineLevelCol="0"/>
  <cols>
    <col collapsed="false" customWidth="true" hidden="false" outlineLevel="0" max="1" min="1" style="1" width="6.54"/>
    <col collapsed="false" customWidth="true" hidden="false" outlineLevel="0" max="2" min="2" style="1" width="7.54"/>
    <col collapsed="false" customWidth="true" hidden="false" outlineLevel="0" max="3" min="3" style="1" width="10.45"/>
    <col collapsed="false" customWidth="true" hidden="false" outlineLevel="0" max="4" min="4" style="1" width="19.09"/>
    <col collapsed="false" customWidth="true" hidden="false" outlineLevel="0" max="5" min="5" style="1" width="10.91"/>
    <col collapsed="false" customWidth="true" hidden="false" outlineLevel="0" max="6" min="6" style="1" width="17.09"/>
  </cols>
  <sheetData>
    <row r="1" customFormat="false" ht="14.25" hidden="false" customHeight="true" outlineLevel="0" collapsed="false">
      <c r="A1" s="205" t="s">
        <v>354</v>
      </c>
      <c r="B1" s="205" t="s">
        <v>14</v>
      </c>
      <c r="C1" s="205" t="s">
        <v>355</v>
      </c>
      <c r="D1" s="205" t="s">
        <v>356</v>
      </c>
      <c r="E1" s="205" t="s">
        <v>12</v>
      </c>
      <c r="F1" s="205" t="s">
        <v>370</v>
      </c>
      <c r="G1" s="207" t="s">
        <v>358</v>
      </c>
    </row>
    <row r="2" customFormat="false" ht="14.25" hidden="false" customHeight="true" outlineLevel="0" collapsed="false">
      <c r="A2" s="1" t="s">
        <v>359</v>
      </c>
      <c r="B2" s="208" t="n">
        <v>1748</v>
      </c>
      <c r="C2" s="208" t="n">
        <v>189</v>
      </c>
      <c r="D2" s="208" t="n">
        <v>131</v>
      </c>
      <c r="E2" s="86" t="n">
        <v>6.67175572519084</v>
      </c>
      <c r="F2" s="121" t="n">
        <v>2</v>
      </c>
      <c r="G2" s="1" t="s">
        <v>360</v>
      </c>
    </row>
    <row r="3" customFormat="false" ht="14.25" hidden="false" customHeight="true" outlineLevel="0" collapsed="false">
      <c r="A3" s="1" t="s">
        <v>361</v>
      </c>
      <c r="B3" s="208" t="n">
        <v>1747</v>
      </c>
      <c r="C3" s="208" t="n">
        <v>189</v>
      </c>
      <c r="D3" s="208" t="n">
        <v>131</v>
      </c>
      <c r="E3" s="86" t="n">
        <v>6.66793893129771</v>
      </c>
      <c r="F3" s="121" t="n">
        <v>2</v>
      </c>
      <c r="G3" s="1" t="s">
        <v>360</v>
      </c>
    </row>
    <row r="4" customFormat="false" ht="14.25" hidden="false" customHeight="true" outlineLevel="0" collapsed="false">
      <c r="A4" s="1" t="s">
        <v>362</v>
      </c>
      <c r="B4" s="208" t="n">
        <v>2664.8</v>
      </c>
      <c r="C4" s="208" t="n">
        <v>189</v>
      </c>
      <c r="D4" s="208" t="n">
        <v>131</v>
      </c>
      <c r="E4" s="86" t="n">
        <v>6.78066157760814</v>
      </c>
      <c r="F4" s="210" t="n">
        <v>3</v>
      </c>
      <c r="G4" s="44" t="s">
        <v>371</v>
      </c>
    </row>
    <row r="5" customFormat="false" ht="14.25" hidden="false" customHeight="true" outlineLevel="0" collapsed="false">
      <c r="A5" s="1" t="s">
        <v>363</v>
      </c>
      <c r="B5" s="208" t="n">
        <v>1672</v>
      </c>
      <c r="C5" s="208" t="n">
        <v>155</v>
      </c>
      <c r="D5" s="208" t="n">
        <v>131</v>
      </c>
      <c r="E5" s="86" t="n">
        <v>6.38167938931298</v>
      </c>
      <c r="F5" s="121" t="n">
        <v>2</v>
      </c>
      <c r="G5" s="1" t="s">
        <v>360</v>
      </c>
    </row>
    <row r="6" customFormat="false" ht="14.25" hidden="false" customHeight="true" outlineLevel="0" collapsed="false">
      <c r="A6" s="1" t="s">
        <v>364</v>
      </c>
      <c r="B6" s="208" t="n">
        <v>1895.5</v>
      </c>
      <c r="C6" s="208" t="n">
        <v>155</v>
      </c>
      <c r="D6" s="208" t="n">
        <v>131</v>
      </c>
      <c r="E6" s="86" t="n">
        <v>7.23473282442748</v>
      </c>
      <c r="F6" s="121" t="n">
        <v>2</v>
      </c>
      <c r="G6" s="1" t="s">
        <v>360</v>
      </c>
    </row>
    <row r="7" customFormat="false" ht="14.25" hidden="false" customHeight="true" outlineLevel="0" collapsed="false">
      <c r="A7" s="1" t="s">
        <v>365</v>
      </c>
      <c r="B7" s="208" t="n">
        <v>1846</v>
      </c>
      <c r="C7" s="208" t="n">
        <v>155</v>
      </c>
      <c r="D7" s="208" t="n">
        <v>115</v>
      </c>
      <c r="E7" s="86" t="n">
        <v>8.02608695652174</v>
      </c>
      <c r="F7" s="121" t="n">
        <v>2</v>
      </c>
      <c r="G7" s="1" t="s">
        <v>360</v>
      </c>
    </row>
    <row r="8" customFormat="false" ht="14.25" hidden="false" customHeight="true" outlineLevel="0" collapsed="false">
      <c r="A8" s="1" t="s">
        <v>366</v>
      </c>
      <c r="B8" s="208" t="n">
        <v>1782.1</v>
      </c>
      <c r="C8" s="208" t="n">
        <v>156</v>
      </c>
      <c r="D8" s="208" t="n">
        <v>115</v>
      </c>
      <c r="E8" s="86" t="n">
        <v>7.74826086956522</v>
      </c>
      <c r="F8" s="121" t="n">
        <v>2</v>
      </c>
      <c r="G8" s="1" t="s">
        <v>360</v>
      </c>
    </row>
    <row r="9" customFormat="false" ht="14.25" hidden="false" customHeight="true" outlineLevel="0" collapsed="false">
      <c r="A9" s="1" t="s">
        <v>367</v>
      </c>
      <c r="B9" s="208" t="n">
        <v>1785</v>
      </c>
      <c r="C9" s="208" t="n">
        <v>156</v>
      </c>
      <c r="D9" s="208" t="n">
        <v>115</v>
      </c>
      <c r="E9" s="86" t="n">
        <v>7.76086956521739</v>
      </c>
      <c r="F9" s="121" t="n">
        <v>2</v>
      </c>
      <c r="G9" s="1" t="s">
        <v>360</v>
      </c>
    </row>
    <row r="10" customFormat="false" ht="14.25" hidden="false" customHeight="true" outlineLevel="0" collapsed="false">
      <c r="A10" s="1" t="s">
        <v>368</v>
      </c>
      <c r="B10" s="208" t="n">
        <v>868</v>
      </c>
      <c r="C10" s="208" t="n">
        <v>156</v>
      </c>
      <c r="D10" s="208" t="n">
        <v>115</v>
      </c>
      <c r="E10" s="86" t="n">
        <v>7.54782608695652</v>
      </c>
      <c r="F10" s="210" t="n">
        <v>1</v>
      </c>
      <c r="G10" s="44" t="s">
        <v>372</v>
      </c>
    </row>
    <row r="11" customFormat="false" ht="14.25" hidden="false" customHeight="true" outlineLevel="0" collapsed="false">
      <c r="B11" s="208"/>
      <c r="C11" s="208"/>
      <c r="D11" s="208"/>
      <c r="E11" s="8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5390625" defaultRowHeight="14.25" zeroHeight="false" outlineLevelRow="0" outlineLevelCol="0"/>
  <cols>
    <col collapsed="false" customWidth="true" hidden="false" outlineLevel="0" max="1" min="1" style="1" width="20"/>
    <col collapsed="false" customWidth="true" hidden="false" outlineLevel="0" max="2" min="2" style="1" width="22.18"/>
    <col collapsed="false" customWidth="true" hidden="false" outlineLevel="0" max="3" min="3" style="1" width="18.09"/>
    <col collapsed="false" customWidth="true" hidden="false" outlineLevel="0" max="5" min="4" style="1" width="11.81"/>
    <col collapsed="false" customWidth="true" hidden="false" outlineLevel="0" max="6" min="6" style="1" width="13.63"/>
    <col collapsed="false" customWidth="true" hidden="false" outlineLevel="0" max="7" min="7" style="1" width="21.81"/>
    <col collapsed="false" customWidth="true" hidden="false" outlineLevel="0" max="8" min="8" style="1" width="10"/>
    <col collapsed="false" customWidth="true" hidden="false" outlineLevel="0" max="9" min="9" style="1" width="27.27"/>
    <col collapsed="false" customWidth="true" hidden="false" outlineLevel="0" max="10" min="10" style="1" width="10.91"/>
    <col collapsed="false" customWidth="true" hidden="false" outlineLevel="0" max="11" min="11" style="1" width="18.18"/>
  </cols>
  <sheetData>
    <row r="1" customFormat="false" ht="31.5" hidden="false" customHeight="true" outlineLevel="0" collapsed="false">
      <c r="A1" s="211" t="s">
        <v>373</v>
      </c>
      <c r="B1" s="211"/>
      <c r="C1" s="211"/>
      <c r="D1" s="211"/>
      <c r="E1" s="211"/>
      <c r="F1" s="211"/>
      <c r="G1" s="211"/>
      <c r="H1" s="211"/>
      <c r="I1" s="211"/>
      <c r="J1" s="211"/>
      <c r="K1" s="211"/>
    </row>
    <row r="2" customFormat="false" ht="14.25" hidden="false" customHeight="true" outlineLevel="0" collapsed="false">
      <c r="A2" s="212" t="s">
        <v>374</v>
      </c>
      <c r="B2" s="212"/>
      <c r="C2" s="212"/>
      <c r="D2" s="212"/>
      <c r="E2" s="212"/>
      <c r="F2" s="212"/>
      <c r="G2" s="212"/>
      <c r="H2" s="212"/>
      <c r="I2" s="212"/>
      <c r="J2" s="212"/>
      <c r="K2" s="212"/>
    </row>
    <row r="3" customFormat="false" ht="14.25" hidden="false" customHeight="true" outlineLevel="0" collapsed="false">
      <c r="A3" s="213"/>
      <c r="B3" s="213"/>
      <c r="C3" s="213"/>
      <c r="D3" s="213"/>
      <c r="E3" s="213"/>
      <c r="F3" s="213"/>
      <c r="G3" s="213"/>
      <c r="H3" s="213"/>
      <c r="I3" s="213"/>
      <c r="J3" s="213"/>
      <c r="K3" s="213"/>
    </row>
    <row r="4" customFormat="false" ht="14.25" hidden="false" customHeight="true" outlineLevel="0" collapsed="false">
      <c r="A4" s="214" t="s">
        <v>375</v>
      </c>
      <c r="B4" s="214" t="s">
        <v>376</v>
      </c>
      <c r="C4" s="214" t="s">
        <v>377</v>
      </c>
      <c r="D4" s="214" t="s">
        <v>378</v>
      </c>
      <c r="E4" s="214" t="s">
        <v>379</v>
      </c>
      <c r="F4" s="214" t="s">
        <v>380</v>
      </c>
      <c r="G4" s="214" t="s">
        <v>381</v>
      </c>
      <c r="H4" s="215" t="s">
        <v>382</v>
      </c>
      <c r="I4" s="215"/>
      <c r="J4" s="215"/>
      <c r="K4" s="215"/>
    </row>
    <row r="5" customFormat="false" ht="17.25" hidden="false" customHeight="true" outlineLevel="0" collapsed="false">
      <c r="A5" s="216" t="n">
        <f aca="false">'Pivot Productivity'!D34</f>
        <v>7.24639307662035</v>
      </c>
      <c r="B5" s="216" t="n">
        <f aca="false">'Pivot Productivity'!E34</f>
        <v>7.68993630765226</v>
      </c>
      <c r="C5" s="217" t="n">
        <f aca="false">B5/A5-1</f>
        <v>0.0612088284946826</v>
      </c>
      <c r="D5" s="216" t="n">
        <f aca="false">'Pivot Productivity'!F34</f>
        <v>7.8105905483</v>
      </c>
      <c r="E5" s="217" t="n">
        <f aca="false">D5/B5-1</f>
        <v>0.0156898881630108</v>
      </c>
      <c r="F5" s="218" t="str">
        <f aca="false">COUNT('Pivot Productivity'!F5:F33)&amp;" of 29"</f>
        <v>26 of 29</v>
      </c>
      <c r="G5" s="218" t="str">
        <f aca="false" t="array" ref="G5:G5">SUMPRODUCT(--('Pivot Productivity'!D5:D33&lt;&gt;""),--('Pivot Productivity'!E5:E33&lt;&gt;""),--('Pivot Productivity'!F5:F33&lt;&gt;""))&amp;" of 29"</f>
        <v>25 of 29</v>
      </c>
      <c r="H5" s="219" t="s">
        <v>383</v>
      </c>
      <c r="I5" s="219"/>
      <c r="J5" s="219"/>
      <c r="K5" s="219"/>
    </row>
    <row r="6" customFormat="false" ht="14.25" hidden="false" customHeight="true" outlineLevel="0" collapsed="false">
      <c r="A6" s="213"/>
      <c r="B6" s="213"/>
      <c r="C6" s="213"/>
      <c r="D6" s="213"/>
      <c r="E6" s="213"/>
      <c r="F6" s="213"/>
      <c r="G6" s="213"/>
      <c r="H6" s="219"/>
      <c r="I6" s="219"/>
      <c r="J6" s="219"/>
      <c r="K6" s="219"/>
    </row>
    <row r="7" customFormat="false" ht="14.25" hidden="false" customHeight="true" outlineLevel="0" collapsed="false">
      <c r="A7" s="213"/>
      <c r="B7" s="213"/>
      <c r="C7" s="213"/>
      <c r="D7" s="213"/>
      <c r="E7" s="213"/>
      <c r="F7" s="213"/>
      <c r="G7" s="213"/>
      <c r="H7" s="213"/>
      <c r="I7" s="213"/>
      <c r="J7" s="213"/>
      <c r="K7" s="213"/>
    </row>
    <row r="8" customFormat="false" ht="14.25" hidden="false" customHeight="true" outlineLevel="0" collapsed="false">
      <c r="A8" s="215" t="s">
        <v>384</v>
      </c>
      <c r="B8" s="215"/>
      <c r="C8" s="215"/>
      <c r="D8" s="215"/>
      <c r="E8" s="215"/>
      <c r="F8" s="213"/>
      <c r="G8" s="215" t="s">
        <v>385</v>
      </c>
      <c r="H8" s="215"/>
      <c r="I8" s="215"/>
      <c r="J8" s="215"/>
      <c r="K8" s="215"/>
    </row>
    <row r="9" customFormat="false" ht="14.25" hidden="false" customHeight="true" outlineLevel="0" collapsed="false">
      <c r="A9" s="220" t="s">
        <v>386</v>
      </c>
      <c r="B9" s="220" t="s">
        <v>387</v>
      </c>
      <c r="C9" s="220" t="s">
        <v>388</v>
      </c>
      <c r="D9" s="220" t="s">
        <v>389</v>
      </c>
      <c r="E9" s="220" t="s">
        <v>390</v>
      </c>
      <c r="F9" s="213"/>
      <c r="G9" s="220" t="s">
        <v>391</v>
      </c>
      <c r="H9" s="220" t="s">
        <v>392</v>
      </c>
      <c r="I9" s="220" t="s">
        <v>393</v>
      </c>
      <c r="J9" s="213"/>
      <c r="K9" s="213"/>
    </row>
    <row r="10" customFormat="false" ht="14.25" hidden="false" customHeight="true" outlineLevel="0" collapsed="false">
      <c r="A10" s="213" t="s">
        <v>394</v>
      </c>
      <c r="B10" s="213" t="s">
        <v>395</v>
      </c>
      <c r="C10" s="221" t="n">
        <f aca="false">'Pivot Productivity'!D34</f>
        <v>7.24639307662035</v>
      </c>
      <c r="D10" s="222"/>
      <c r="E10" s="213" t="s">
        <v>396</v>
      </c>
      <c r="F10" s="213"/>
      <c r="G10" s="213" t="s">
        <v>397</v>
      </c>
      <c r="H10" s="213" t="n">
        <f aca="false">COUNTIF('Lead Observations'!B8:B36,G10)</f>
        <v>9</v>
      </c>
      <c r="I10" s="223" t="str">
        <f aca="false" t="array" ref="I10:I10">_xlfn.TEXTJOIN(", ",TRUE(),IF('Lead Observations'!$B$8:$B$36=G10,'Lead Observations'!$A$8:$A$36,""))</f>
        <v>XM Velocity 1/Xceeders, Xumo, BXT, DevOps, NWT-FSM, Platform, Celestial (Titan), Celestial (Universal), Flow Engine (prometheus)</v>
      </c>
      <c r="J10" s="213"/>
      <c r="K10" s="213"/>
    </row>
    <row r="11" customFormat="false" ht="14.25" hidden="false" customHeight="true" outlineLevel="0" collapsed="false">
      <c r="A11" s="213" t="s">
        <v>398</v>
      </c>
      <c r="B11" s="213" t="s">
        <v>399</v>
      </c>
      <c r="C11" s="221" t="n">
        <f aca="false">'Pivot Productivity'!E34</f>
        <v>7.68993630765226</v>
      </c>
      <c r="D11" s="222" t="n">
        <f aca="false">C11/C10-1</f>
        <v>0.0612088284946826</v>
      </c>
      <c r="E11" s="213" t="s">
        <v>400</v>
      </c>
      <c r="F11" s="213"/>
      <c r="G11" s="213" t="s">
        <v>401</v>
      </c>
      <c r="H11" s="213" t="n">
        <f aca="false">COUNTIF('Lead Observations'!B8:B36,G11)</f>
        <v>5</v>
      </c>
      <c r="I11" s="223" t="str">
        <f aca="false" t="array" ref="I11:I11">_xlfn.TEXTJOIN(", ",TRUE(),IF('Lead Observations'!$B$8:$B$36=G11,'Lead Observations'!$A$8:$A$36,""))</f>
        <v>Account Services - XM PDF, XM360 CBM/Phoenix, XM360 Supersonix, NWT - PSNB, XRM - VOIXM Scrum</v>
      </c>
      <c r="J11" s="213"/>
      <c r="K11" s="213"/>
    </row>
    <row r="12" customFormat="false" ht="14.25" hidden="false" customHeight="true" outlineLevel="0" collapsed="false">
      <c r="A12" s="213" t="s">
        <v>402</v>
      </c>
      <c r="B12" s="213" t="s">
        <v>403</v>
      </c>
      <c r="C12" s="221" t="n">
        <f aca="false">'Pivot Productivity'!F34</f>
        <v>7.8105905483</v>
      </c>
      <c r="D12" s="222" t="n">
        <f aca="false">C12/C11-1</f>
        <v>0.0156898881630108</v>
      </c>
      <c r="E12" s="213" t="s">
        <v>404</v>
      </c>
      <c r="F12" s="213"/>
      <c r="G12" s="213" t="s">
        <v>405</v>
      </c>
      <c r="H12" s="213" t="n">
        <f aca="false">COUNTIF('Lead Observations'!B8:B36,G12)</f>
        <v>3</v>
      </c>
      <c r="I12" s="223" t="str">
        <f aca="false" t="array" ref="I12:I12">_xlfn.TEXTJOIN(", ",TRUE(),IF('Lead Observations'!$B$8:$B$36=G12,'Lead Observations'!$A$8:$A$36,""))</f>
        <v>Field Experience, Flow Engine (optimus), XRM - Video Scrum</v>
      </c>
      <c r="J12" s="213"/>
      <c r="K12" s="213"/>
    </row>
    <row r="13" customFormat="false" ht="14.25" hidden="false" customHeight="true" outlineLevel="0" collapsed="false">
      <c r="A13" s="213"/>
      <c r="B13" s="213"/>
      <c r="C13" s="213"/>
      <c r="D13" s="213"/>
      <c r="E13" s="213"/>
      <c r="F13" s="213"/>
      <c r="G13" s="213" t="s">
        <v>406</v>
      </c>
      <c r="H13" s="213" t="n">
        <f aca="false">COUNTIF('Lead Observations'!B8:B36,G13)</f>
        <v>7</v>
      </c>
      <c r="I13" s="223" t="str">
        <f aca="false" t="array" ref="I13:I13">_xlfn.TEXTJOIN(", ",TRUE(),IF('Lead Observations'!$B$8:$B$36=G13,'Lead Observations'!$A$8:$A$36,""))</f>
        <v>Account Services, Account Services - BRE, Assisted Tools, CPOS, NWT - UI, XRM, XRM - HSD Scrum</v>
      </c>
      <c r="J13" s="213"/>
      <c r="K13" s="213"/>
    </row>
    <row r="14" customFormat="false" ht="14.25" hidden="false" customHeight="true" outlineLevel="0" collapsed="false">
      <c r="A14" s="213"/>
      <c r="B14" s="213"/>
      <c r="C14" s="213"/>
      <c r="D14" s="213"/>
      <c r="E14" s="213"/>
      <c r="F14" s="213"/>
      <c r="G14" s="213" t="s">
        <v>407</v>
      </c>
      <c r="H14" s="213" t="n">
        <f aca="false">COUNTIF('Lead Observations'!B8:B36,G14)</f>
        <v>1</v>
      </c>
      <c r="I14" s="223" t="str">
        <f aca="false" t="array" ref="I14:I14">_xlfn.TEXTJOIN(", ",TRUE(),IF('Lead Observations'!$B$8:$B$36=G14,'Lead Observations'!$A$8:$A$36,""))</f>
        <v>Right Answers</v>
      </c>
      <c r="J14" s="213"/>
      <c r="K14" s="213"/>
    </row>
    <row r="15" customFormat="false" ht="174" hidden="false" customHeight="true" outlineLevel="0" collapsed="false">
      <c r="A15" s="213"/>
      <c r="B15" s="213"/>
      <c r="C15" s="213"/>
      <c r="D15" s="213"/>
      <c r="E15" s="213"/>
      <c r="F15" s="213"/>
      <c r="G15" s="213"/>
      <c r="H15" s="213"/>
      <c r="I15" s="213"/>
      <c r="J15" s="213"/>
      <c r="K15" s="213"/>
    </row>
    <row r="16" customFormat="false" ht="14.25" hidden="false" customHeight="true" outlineLevel="0" collapsed="false">
      <c r="A16" s="215" t="s">
        <v>408</v>
      </c>
      <c r="B16" s="215"/>
      <c r="C16" s="215"/>
      <c r="D16" s="215"/>
      <c r="E16" s="215"/>
      <c r="F16" s="213"/>
      <c r="G16" s="215" t="s">
        <v>409</v>
      </c>
      <c r="H16" s="215"/>
      <c r="I16" s="215"/>
      <c r="J16" s="215"/>
      <c r="K16" s="215"/>
    </row>
    <row r="17" customFormat="false" ht="14.25" hidden="false" customHeight="true" outlineLevel="0" collapsed="false">
      <c r="A17" s="220" t="s">
        <v>410</v>
      </c>
      <c r="B17" s="220" t="s">
        <v>394</v>
      </c>
      <c r="C17" s="220" t="s">
        <v>398</v>
      </c>
      <c r="D17" s="220" t="s">
        <v>411</v>
      </c>
      <c r="E17" s="220" t="s">
        <v>412</v>
      </c>
      <c r="F17" s="213"/>
      <c r="G17" s="220" t="s">
        <v>410</v>
      </c>
      <c r="H17" s="220" t="s">
        <v>398</v>
      </c>
      <c r="I17" s="220" t="s">
        <v>402</v>
      </c>
      <c r="J17" s="220" t="s">
        <v>413</v>
      </c>
      <c r="K17" s="220" t="s">
        <v>412</v>
      </c>
    </row>
    <row r="18" customFormat="false" ht="14.25" hidden="false" customHeight="true" outlineLevel="0" collapsed="false">
      <c r="A18" s="213" t="s">
        <v>173</v>
      </c>
      <c r="B18" s="221" t="n">
        <f aca="false">IFERROR(INDEX('Lead Observations'!C$8:C$36,MATCH(A18,'Lead Observations'!A$8:A$36,0)),"")</f>
        <v>4.24944444444444</v>
      </c>
      <c r="C18" s="221" t="n">
        <f aca="false">IFERROR(INDEX('Lead Observations'!D$8:D$36,MATCH(A18,'Lead Observations'!A$8:A$36,0)),"")</f>
        <v>10</v>
      </c>
      <c r="D18" s="221" t="n">
        <f aca="false">C18-B18</f>
        <v>5.75055555555556</v>
      </c>
      <c r="E18" s="213" t="s">
        <v>414</v>
      </c>
      <c r="F18" s="213"/>
      <c r="G18" s="213" t="s">
        <v>193</v>
      </c>
      <c r="H18" s="221" t="n">
        <f aca="false">IFERROR(INDEX('Lead Observations'!D$8:D$36,MATCH(G18,'Lead Observations'!A$8:A$36,0)),"")</f>
        <v>6.79555555555556</v>
      </c>
      <c r="I18" s="221" t="n">
        <f aca="false">IFERROR(INDEX('Lead Observations'!E$8:E$36,MATCH(G18,'Lead Observations'!A$8:A$36,0)),"")</f>
        <v>9.17</v>
      </c>
      <c r="J18" s="221" t="n">
        <f aca="false">I18-H18</f>
        <v>2.37444444444444</v>
      </c>
      <c r="K18" s="213" t="s">
        <v>415</v>
      </c>
    </row>
    <row r="19" customFormat="false" ht="14.25" hidden="false" customHeight="true" outlineLevel="0" collapsed="false">
      <c r="A19" s="213" t="s">
        <v>184</v>
      </c>
      <c r="B19" s="221" t="n">
        <f aca="false">IFERROR(INDEX('Lead Observations'!C$8:C$36,MATCH(A19,'Lead Observations'!A$8:A$36,0)),"")</f>
        <v>5.12452380952381</v>
      </c>
      <c r="C19" s="221" t="n">
        <f aca="false">IFERROR(INDEX('Lead Observations'!D$8:D$36,MATCH(A19,'Lead Observations'!A$8:A$36,0)),"")</f>
        <v>8.08833333333333</v>
      </c>
      <c r="D19" s="221" t="n">
        <f aca="false">C19-B19</f>
        <v>2.96380952380952</v>
      </c>
      <c r="E19" s="213" t="s">
        <v>416</v>
      </c>
      <c r="F19" s="213"/>
      <c r="G19" s="213" t="s">
        <v>194</v>
      </c>
      <c r="H19" s="221" t="n">
        <f aca="false">IFERROR(INDEX('Lead Observations'!D$8:D$36,MATCH(G19,'Lead Observations'!A$8:A$36,0)),"")</f>
        <v>6.79555555555556</v>
      </c>
      <c r="I19" s="221" t="n">
        <f aca="false">IFERROR(INDEX('Lead Observations'!E$8:E$36,MATCH(G19,'Lead Observations'!A$8:A$36,0)),"")</f>
        <v>9.17</v>
      </c>
      <c r="J19" s="221" t="n">
        <f aca="false">I19-H19</f>
        <v>2.37444444444444</v>
      </c>
      <c r="K19" s="213" t="s">
        <v>415</v>
      </c>
    </row>
    <row r="20" customFormat="false" ht="14.25" hidden="false" customHeight="true" outlineLevel="0" collapsed="false">
      <c r="A20" s="213" t="s">
        <v>199</v>
      </c>
      <c r="B20" s="221" t="n">
        <f aca="false">IFERROR(INDEX('Lead Observations'!C$8:C$36,MATCH(A20,'Lead Observations'!A$8:A$36,0)),"")</f>
        <v>7.5</v>
      </c>
      <c r="C20" s="221" t="n">
        <f aca="false">IFERROR(INDEX('Lead Observations'!D$8:D$36,MATCH(A20,'Lead Observations'!A$8:A$36,0)),"")</f>
        <v>10</v>
      </c>
      <c r="D20" s="221" t="n">
        <f aca="false">C20-B20</f>
        <v>2.5</v>
      </c>
      <c r="E20" s="213" t="s">
        <v>417</v>
      </c>
      <c r="F20" s="213"/>
      <c r="G20" s="213" t="s">
        <v>171</v>
      </c>
      <c r="H20" s="221" t="n">
        <f aca="false">IFERROR(INDEX('Lead Observations'!D$8:D$36,MATCH(G20,'Lead Observations'!A$8:A$36,0)),"")</f>
        <v>13.0333333333333</v>
      </c>
      <c r="I20" s="221" t="n">
        <f aca="false">IFERROR(INDEX('Lead Observations'!E$8:E$36,MATCH(G20,'Lead Observations'!A$8:A$36,0)),"")</f>
        <v>14.0666666666667</v>
      </c>
      <c r="J20" s="221" t="n">
        <f aca="false">I20-H20</f>
        <v>1.0333333333334</v>
      </c>
      <c r="K20" s="213" t="s">
        <v>418</v>
      </c>
    </row>
    <row r="21" customFormat="false" ht="14.25" hidden="false" customHeight="true" outlineLevel="0" collapsed="false">
      <c r="A21" s="213" t="s">
        <v>186</v>
      </c>
      <c r="B21" s="221" t="n">
        <f aca="false">IFERROR(INDEX('Lead Observations'!C$8:C$36,MATCH(A21,'Lead Observations'!A$8:A$36,0)),"")</f>
        <v>8.06</v>
      </c>
      <c r="C21" s="221" t="n">
        <f aca="false">IFERROR(INDEX('Lead Observations'!D$8:D$36,MATCH(A21,'Lead Observations'!A$8:A$36,0)),"")</f>
        <v>4.29666666666667</v>
      </c>
      <c r="D21" s="221" t="n">
        <f aca="false">C21-B21</f>
        <v>-3.76333333333333</v>
      </c>
      <c r="E21" s="213" t="s">
        <v>419</v>
      </c>
      <c r="F21" s="213"/>
      <c r="G21" s="213" t="s">
        <v>197</v>
      </c>
      <c r="H21" s="221" t="n">
        <f aca="false">IFERROR(INDEX('Lead Observations'!D$8:D$36,MATCH(G21,'Lead Observations'!A$8:A$36,0)),"")</f>
        <v>13.6666666666667</v>
      </c>
      <c r="I21" s="221" t="n">
        <f aca="false">IFERROR(INDEX('Lead Observations'!E$8:E$36,MATCH(G21,'Lead Observations'!A$8:A$36,0)),"")</f>
        <v>11.5</v>
      </c>
      <c r="J21" s="221" t="n">
        <f aca="false">I21-H21</f>
        <v>-2.1666666666667</v>
      </c>
      <c r="K21" s="213" t="s">
        <v>420</v>
      </c>
    </row>
    <row r="22" customFormat="false" ht="14.25" hidden="false" customHeight="true" outlineLevel="0" collapsed="false">
      <c r="A22" s="213" t="s">
        <v>174</v>
      </c>
      <c r="B22" s="221" t="n">
        <f aca="false">IFERROR(INDEX('Lead Observations'!C$8:C$36,MATCH(A22,'Lead Observations'!A$8:A$36,0)),"")</f>
        <v>7.4375</v>
      </c>
      <c r="C22" s="221" t="n">
        <f aca="false">IFERROR(INDEX('Lead Observations'!D$8:D$36,MATCH(A22,'Lead Observations'!A$8:A$36,0)),"")</f>
        <v>5.81416666666667</v>
      </c>
      <c r="D22" s="221" t="n">
        <f aca="false">C22-B22</f>
        <v>-1.62333333333333</v>
      </c>
      <c r="E22" s="213" t="s">
        <v>421</v>
      </c>
      <c r="F22" s="213"/>
      <c r="G22" s="213" t="s">
        <v>178</v>
      </c>
      <c r="H22" s="221" t="n">
        <f aca="false">IFERROR(INDEX('Lead Observations'!D$8:D$36,MATCH(G22,'Lead Observations'!A$8:A$36,0)),"")</f>
        <v>7.48</v>
      </c>
      <c r="I22" s="221" t="n">
        <f aca="false">IFERROR(INDEX('Lead Observations'!E$8:E$36,MATCH(G22,'Lead Observations'!A$8:A$36,0)),"")</f>
        <v>5.37666666666667</v>
      </c>
      <c r="J22" s="221" t="n">
        <f aca="false">I22-H22</f>
        <v>-2.10333333333333</v>
      </c>
      <c r="K22" s="213" t="s">
        <v>422</v>
      </c>
    </row>
    <row r="23" customFormat="false" ht="14.25" hidden="false" customHeight="true" outlineLevel="0" collapsed="false">
      <c r="A23" s="213" t="s">
        <v>198</v>
      </c>
      <c r="B23" s="221" t="n">
        <f aca="false">IFERROR(INDEX('Lead Observations'!C$8:C$36,MATCH(A23,'Lead Observations'!A$8:A$36,0)),"")</f>
        <v>11.7361111111111</v>
      </c>
      <c r="C23" s="221" t="n">
        <f aca="false">IFERROR(INDEX('Lead Observations'!D$8:D$36,MATCH(A23,'Lead Observations'!A$8:A$36,0)),"")</f>
        <v>10.175</v>
      </c>
      <c r="D23" s="221" t="n">
        <f aca="false">C23-B23</f>
        <v>-1.5611111111111</v>
      </c>
      <c r="E23" s="213" t="s">
        <v>423</v>
      </c>
      <c r="F23" s="213"/>
      <c r="G23" s="213" t="s">
        <v>165</v>
      </c>
      <c r="H23" s="221" t="n">
        <f aca="false">IFERROR(INDEX('Lead Observations'!D$8:D$36,MATCH(G23,'Lead Observations'!A$8:A$36,0)),"")</f>
        <v>6.425</v>
      </c>
      <c r="I23" s="221" t="n">
        <f aca="false">IFERROR(INDEX('Lead Observations'!E$8:E$36,MATCH(G23,'Lead Observations'!A$8:A$36,0)),"")</f>
        <v>5.08333333333333</v>
      </c>
      <c r="J23" s="221" t="n">
        <f aca="false">I23-H23</f>
        <v>-1.34166666666667</v>
      </c>
      <c r="K23" s="213" t="s">
        <v>424</v>
      </c>
    </row>
    <row r="24" customFormat="false" ht="14.25" hidden="false" customHeight="true" outlineLevel="0" collapsed="false">
      <c r="A24" s="213"/>
      <c r="B24" s="213"/>
      <c r="C24" s="213"/>
      <c r="D24" s="213"/>
      <c r="E24" s="213"/>
      <c r="F24" s="213"/>
      <c r="G24" s="213"/>
      <c r="H24" s="213"/>
      <c r="I24" s="213"/>
      <c r="J24" s="213"/>
      <c r="K24" s="213"/>
    </row>
    <row r="25" customFormat="false" ht="14.25" hidden="false" customHeight="true" outlineLevel="0" collapsed="false">
      <c r="A25" s="213"/>
      <c r="B25" s="213"/>
      <c r="C25" s="213"/>
      <c r="D25" s="213"/>
      <c r="E25" s="213"/>
      <c r="F25" s="213"/>
      <c r="G25" s="213"/>
      <c r="H25" s="213"/>
      <c r="I25" s="213"/>
      <c r="J25" s="213"/>
      <c r="K25" s="213"/>
    </row>
    <row r="26" customFormat="false" ht="14.25" hidden="false" customHeight="true" outlineLevel="0" collapsed="false">
      <c r="A26" s="215" t="s">
        <v>425</v>
      </c>
      <c r="B26" s="215"/>
      <c r="C26" s="215"/>
      <c r="D26" s="215"/>
      <c r="E26" s="215"/>
      <c r="F26" s="215"/>
      <c r="G26" s="215"/>
      <c r="H26" s="215"/>
      <c r="I26" s="215"/>
      <c r="J26" s="215"/>
      <c r="K26" s="215"/>
    </row>
    <row r="27" customFormat="false" ht="14.25" hidden="false" customHeight="true" outlineLevel="0" collapsed="false">
      <c r="A27" s="219" t="s">
        <v>426</v>
      </c>
      <c r="B27" s="219"/>
      <c r="C27" s="219"/>
      <c r="D27" s="219"/>
      <c r="E27" s="219"/>
      <c r="F27" s="219"/>
      <c r="G27" s="219"/>
      <c r="H27" s="219"/>
      <c r="I27" s="219"/>
      <c r="J27" s="219"/>
      <c r="K27" s="219"/>
    </row>
    <row r="28" customFormat="false" ht="14.25" hidden="false" customHeight="true" outlineLevel="0" collapsed="false">
      <c r="A28" s="219"/>
      <c r="B28" s="219"/>
      <c r="C28" s="219"/>
      <c r="D28" s="219"/>
      <c r="E28" s="219"/>
      <c r="F28" s="219"/>
      <c r="G28" s="219"/>
      <c r="H28" s="219"/>
      <c r="I28" s="219"/>
      <c r="J28" s="219"/>
      <c r="K28" s="219"/>
    </row>
    <row r="29" customFormat="false" ht="14.25" hidden="false" customHeight="true" outlineLevel="0" collapsed="false">
      <c r="A29" s="219"/>
      <c r="B29" s="219"/>
      <c r="C29" s="219"/>
      <c r="D29" s="219"/>
      <c r="E29" s="219"/>
      <c r="F29" s="219"/>
      <c r="G29" s="219"/>
      <c r="H29" s="219"/>
      <c r="I29" s="219"/>
      <c r="J29" s="219"/>
      <c r="K29" s="219"/>
    </row>
    <row r="81" customFormat="false" ht="14.25" hidden="false" customHeight="true" outlineLevel="0" collapsed="false">
      <c r="A81" s="224"/>
      <c r="B81" s="224"/>
      <c r="C81" s="224"/>
      <c r="D81" s="224"/>
      <c r="E81" s="224"/>
      <c r="F81" s="224"/>
      <c r="G81" s="224"/>
      <c r="H81" s="224"/>
      <c r="I81" s="224"/>
      <c r="J81" s="224"/>
      <c r="K81" s="224"/>
    </row>
    <row r="82" customFormat="false" ht="14.25" hidden="false" customHeight="true" outlineLevel="0" collapsed="false">
      <c r="A82" s="224"/>
      <c r="B82" s="224"/>
      <c r="C82" s="224"/>
      <c r="D82" s="224"/>
      <c r="E82" s="224"/>
      <c r="F82" s="224"/>
      <c r="G82" s="224"/>
      <c r="H82" s="224"/>
      <c r="I82" s="224"/>
      <c r="J82" s="224"/>
      <c r="K82" s="224"/>
    </row>
    <row r="83" customFormat="false" ht="14.25" hidden="false" customHeight="true" outlineLevel="0" collapsed="false">
      <c r="A83" s="224"/>
      <c r="B83" s="224"/>
      <c r="C83" s="224"/>
      <c r="D83" s="224"/>
      <c r="E83" s="224"/>
      <c r="F83" s="224"/>
      <c r="G83" s="224"/>
      <c r="H83" s="224"/>
      <c r="I83" s="224"/>
      <c r="J83" s="224"/>
      <c r="K83" s="224"/>
    </row>
    <row r="84" customFormat="false" ht="14.25" hidden="false" customHeight="true" outlineLevel="0" collapsed="false">
      <c r="A84" s="224"/>
      <c r="B84" s="224"/>
      <c r="C84" s="224"/>
      <c r="D84" s="224"/>
      <c r="E84" s="224"/>
      <c r="F84" s="224"/>
      <c r="G84" s="224"/>
      <c r="H84" s="224"/>
      <c r="I84" s="224"/>
      <c r="J84" s="224"/>
      <c r="K84" s="224"/>
    </row>
    <row r="85" customFormat="false" ht="14.25" hidden="false" customHeight="true" outlineLevel="0" collapsed="false">
      <c r="A85" s="224"/>
      <c r="B85" s="224"/>
      <c r="C85" s="224"/>
      <c r="D85" s="224"/>
      <c r="E85" s="224"/>
      <c r="F85" s="224"/>
      <c r="G85" s="224"/>
      <c r="H85" s="224"/>
      <c r="I85" s="224"/>
      <c r="J85" s="224"/>
      <c r="K85" s="224"/>
    </row>
    <row r="86" customFormat="false" ht="14.25" hidden="false" customHeight="true" outlineLevel="0" collapsed="false">
      <c r="A86" s="224"/>
      <c r="B86" s="224"/>
      <c r="C86" s="224"/>
      <c r="D86" s="224"/>
      <c r="E86" s="224"/>
      <c r="F86" s="224"/>
      <c r="G86" s="224"/>
      <c r="H86" s="224"/>
      <c r="I86" s="224"/>
      <c r="J86" s="224"/>
      <c r="K86" s="224"/>
    </row>
    <row r="87" customFormat="false" ht="14.25" hidden="false" customHeight="true" outlineLevel="0" collapsed="false">
      <c r="A87" s="224"/>
      <c r="B87" s="224"/>
      <c r="C87" s="224"/>
      <c r="D87" s="224"/>
      <c r="E87" s="224"/>
      <c r="F87" s="224"/>
      <c r="G87" s="224"/>
      <c r="H87" s="224"/>
      <c r="I87" s="224"/>
      <c r="J87" s="224"/>
      <c r="K87" s="224"/>
    </row>
    <row r="88" customFormat="false" ht="14.25" hidden="false" customHeight="true" outlineLevel="0" collapsed="false">
      <c r="A88" s="224"/>
      <c r="B88" s="224"/>
      <c r="C88" s="224"/>
      <c r="D88" s="224"/>
      <c r="E88" s="224"/>
      <c r="F88" s="224"/>
      <c r="G88" s="224"/>
      <c r="H88" s="224"/>
      <c r="I88" s="224"/>
      <c r="J88" s="224"/>
      <c r="K88" s="224"/>
    </row>
    <row r="89" customFormat="false" ht="14.25" hidden="false" customHeight="true" outlineLevel="0" collapsed="false">
      <c r="A89" s="224"/>
      <c r="B89" s="224"/>
      <c r="C89" s="224"/>
      <c r="D89" s="224"/>
      <c r="E89" s="224"/>
      <c r="F89" s="224"/>
      <c r="G89" s="224"/>
      <c r="H89" s="224"/>
      <c r="I89" s="224"/>
      <c r="J89" s="224"/>
      <c r="K89" s="224"/>
    </row>
    <row r="90" customFormat="false" ht="14.25" hidden="false" customHeight="true" outlineLevel="0" collapsed="false">
      <c r="A90" s="224"/>
      <c r="B90" s="224"/>
      <c r="C90" s="224"/>
      <c r="D90" s="224"/>
      <c r="E90" s="224"/>
      <c r="F90" s="224"/>
      <c r="G90" s="224"/>
      <c r="H90" s="224"/>
      <c r="I90" s="224"/>
      <c r="J90" s="224"/>
      <c r="K90" s="224"/>
    </row>
    <row r="91" customFormat="false" ht="14.25" hidden="false" customHeight="true" outlineLevel="0" collapsed="false">
      <c r="A91" s="224"/>
      <c r="B91" s="224"/>
      <c r="C91" s="224"/>
      <c r="D91" s="224"/>
      <c r="E91" s="224"/>
      <c r="F91" s="224"/>
      <c r="G91" s="224"/>
      <c r="H91" s="224"/>
      <c r="I91" s="224"/>
      <c r="J91" s="224"/>
      <c r="K91" s="224"/>
    </row>
    <row r="92" customFormat="false" ht="14.25" hidden="false" customHeight="true" outlineLevel="0" collapsed="false">
      <c r="A92" s="224"/>
      <c r="B92" s="224"/>
      <c r="C92" s="224"/>
      <c r="D92" s="224"/>
      <c r="E92" s="224"/>
      <c r="F92" s="224"/>
      <c r="G92" s="224"/>
      <c r="H92" s="224"/>
      <c r="I92" s="224"/>
      <c r="J92" s="224"/>
      <c r="K92" s="224"/>
    </row>
    <row r="93" customFormat="false" ht="14.25" hidden="false" customHeight="true" outlineLevel="0" collapsed="false">
      <c r="A93" s="224"/>
      <c r="B93" s="224"/>
      <c r="C93" s="224"/>
      <c r="D93" s="224"/>
      <c r="E93" s="224"/>
      <c r="F93" s="224"/>
      <c r="G93" s="224"/>
      <c r="H93" s="224"/>
      <c r="I93" s="224"/>
      <c r="J93" s="224"/>
      <c r="K93" s="224"/>
    </row>
    <row r="94" customFormat="false" ht="14.25" hidden="false" customHeight="true" outlineLevel="0" collapsed="false">
      <c r="A94" s="224"/>
      <c r="B94" s="224"/>
      <c r="C94" s="224"/>
      <c r="D94" s="224"/>
      <c r="E94" s="224"/>
      <c r="F94" s="224"/>
      <c r="G94" s="224"/>
      <c r="H94" s="224"/>
      <c r="I94" s="224"/>
      <c r="J94" s="224"/>
      <c r="K94" s="224"/>
    </row>
    <row r="95" customFormat="false" ht="14.25" hidden="false" customHeight="true" outlineLevel="0" collapsed="false">
      <c r="A95" s="224"/>
      <c r="B95" s="224"/>
      <c r="C95" s="224"/>
      <c r="D95" s="224"/>
      <c r="E95" s="224"/>
      <c r="F95" s="224"/>
      <c r="G95" s="224"/>
      <c r="H95" s="224"/>
      <c r="I95" s="224"/>
      <c r="J95" s="224"/>
      <c r="K95" s="224"/>
    </row>
    <row r="96" customFormat="false" ht="14.25" hidden="false" customHeight="true" outlineLevel="0" collapsed="false">
      <c r="A96" s="224"/>
      <c r="B96" s="224"/>
      <c r="C96" s="224"/>
      <c r="D96" s="224"/>
      <c r="E96" s="224"/>
      <c r="F96" s="224"/>
      <c r="G96" s="224"/>
      <c r="H96" s="224"/>
      <c r="I96" s="224"/>
      <c r="J96" s="224"/>
      <c r="K96" s="224"/>
    </row>
    <row r="97" customFormat="false" ht="14.25" hidden="false" customHeight="true" outlineLevel="0" collapsed="false">
      <c r="A97" s="224"/>
      <c r="B97" s="224"/>
      <c r="C97" s="224"/>
      <c r="D97" s="224"/>
      <c r="E97" s="224"/>
      <c r="F97" s="224"/>
      <c r="G97" s="224"/>
      <c r="H97" s="224"/>
      <c r="I97" s="224"/>
      <c r="J97" s="224"/>
      <c r="K97" s="224"/>
    </row>
    <row r="98" customFormat="false" ht="14.25" hidden="false" customHeight="true" outlineLevel="0" collapsed="false">
      <c r="A98" s="224"/>
      <c r="B98" s="224"/>
      <c r="C98" s="224"/>
      <c r="D98" s="224"/>
      <c r="E98" s="224"/>
      <c r="F98" s="224"/>
      <c r="G98" s="224"/>
      <c r="H98" s="224"/>
      <c r="I98" s="224"/>
      <c r="J98" s="224"/>
      <c r="K98" s="224"/>
    </row>
    <row r="99" customFormat="false" ht="14.25" hidden="false" customHeight="true" outlineLevel="0" collapsed="false">
      <c r="A99" s="224"/>
      <c r="B99" s="224"/>
      <c r="C99" s="224"/>
      <c r="D99" s="224"/>
      <c r="E99" s="224"/>
      <c r="F99" s="224"/>
      <c r="G99" s="224"/>
      <c r="H99" s="224"/>
      <c r="I99" s="224"/>
      <c r="J99" s="224"/>
      <c r="K99" s="224"/>
    </row>
    <row r="100" customFormat="false" ht="14.25" hidden="false" customHeight="true" outlineLevel="0" collapsed="false">
      <c r="A100" s="224"/>
      <c r="B100" s="224"/>
      <c r="C100" s="224"/>
      <c r="D100" s="224"/>
      <c r="E100" s="224"/>
      <c r="F100" s="224"/>
      <c r="G100" s="224"/>
      <c r="H100" s="224"/>
      <c r="I100" s="224"/>
      <c r="J100" s="224"/>
      <c r="K100" s="224"/>
    </row>
  </sheetData>
  <mergeCells count="10">
    <mergeCell ref="A1:K1"/>
    <mergeCell ref="A2:K2"/>
    <mergeCell ref="H4:K4"/>
    <mergeCell ref="H5:K6"/>
    <mergeCell ref="A8:E8"/>
    <mergeCell ref="G8:K8"/>
    <mergeCell ref="A16:E16"/>
    <mergeCell ref="G16:K16"/>
    <mergeCell ref="A26:K26"/>
    <mergeCell ref="A27:K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A1" activeCellId="0" sqref="A1"/>
    </sheetView>
  </sheetViews>
  <sheetFormatPr defaultColWidth="8.5390625" defaultRowHeight="14.25" zeroHeight="false" outlineLevelRow="0" outlineLevelCol="0"/>
  <cols>
    <col collapsed="false" customWidth="true" hidden="false" outlineLevel="0" max="1" min="1" style="1" width="21.81"/>
    <col collapsed="false" customWidth="true" hidden="false" outlineLevel="0" max="2" min="2" style="1" width="18.18"/>
    <col collapsed="false" customWidth="true" hidden="false" outlineLevel="0" max="7" min="3" style="1" width="10"/>
    <col collapsed="false" customWidth="true" hidden="false" outlineLevel="0" max="9" min="8" style="1" width="27.27"/>
    <col collapsed="false" customWidth="true" hidden="false" outlineLevel="0" max="10" min="10" style="1" width="18.18"/>
  </cols>
  <sheetData>
    <row r="1" customFormat="false" ht="31.5" hidden="false" customHeight="true" outlineLevel="0" collapsed="false">
      <c r="A1" s="211" t="s">
        <v>427</v>
      </c>
      <c r="B1" s="211"/>
      <c r="C1" s="211"/>
      <c r="D1" s="211"/>
      <c r="E1" s="211"/>
      <c r="F1" s="211"/>
      <c r="G1" s="211"/>
      <c r="H1" s="211"/>
      <c r="I1" s="211"/>
      <c r="J1" s="211"/>
    </row>
    <row r="2" customFormat="false" ht="14.25" hidden="false" customHeight="true" outlineLevel="0" collapsed="false">
      <c r="A2" s="212" t="s">
        <v>428</v>
      </c>
      <c r="B2" s="212"/>
      <c r="C2" s="212"/>
      <c r="D2" s="212"/>
      <c r="E2" s="212"/>
      <c r="F2" s="212"/>
      <c r="G2" s="212"/>
      <c r="H2" s="212"/>
      <c r="I2" s="212"/>
      <c r="J2" s="212"/>
    </row>
    <row r="3" customFormat="false" ht="14.25" hidden="false" customHeight="true" outlineLevel="0" collapsed="false">
      <c r="A3" s="213"/>
      <c r="B3" s="213"/>
      <c r="C3" s="213"/>
      <c r="D3" s="213"/>
      <c r="E3" s="213"/>
      <c r="F3" s="213"/>
      <c r="G3" s="213"/>
      <c r="H3" s="213"/>
      <c r="I3" s="213"/>
      <c r="J3" s="213"/>
    </row>
    <row r="4" customFormat="false" ht="14.25" hidden="false" customHeight="true" outlineLevel="0" collapsed="false">
      <c r="A4" s="214" t="s">
        <v>375</v>
      </c>
      <c r="B4" s="214" t="s">
        <v>376</v>
      </c>
      <c r="C4" s="214" t="s">
        <v>377</v>
      </c>
      <c r="D4" s="214" t="s">
        <v>378</v>
      </c>
      <c r="E4" s="214" t="s">
        <v>379</v>
      </c>
      <c r="F4" s="214" t="s">
        <v>380</v>
      </c>
      <c r="G4" s="214" t="s">
        <v>429</v>
      </c>
      <c r="H4" s="213"/>
      <c r="I4" s="213"/>
      <c r="J4" s="213"/>
    </row>
    <row r="5" customFormat="false" ht="17.25" hidden="false" customHeight="true" outlineLevel="0" collapsed="false">
      <c r="A5" s="216" t="n">
        <f aca="false">'Pivot Productivity'!D34</f>
        <v>7.24639307662035</v>
      </c>
      <c r="B5" s="216" t="n">
        <f aca="false">'Pivot Productivity'!E34</f>
        <v>7.68993630765226</v>
      </c>
      <c r="C5" s="217" t="n">
        <f aca="false">B5/A5-1</f>
        <v>0.0612088284946826</v>
      </c>
      <c r="D5" s="216" t="n">
        <f aca="false">'Pivot Productivity'!F34</f>
        <v>7.8105905483</v>
      </c>
      <c r="E5" s="217" t="n">
        <f aca="false">D5/B5-1</f>
        <v>0.0156898881630108</v>
      </c>
      <c r="F5" s="218" t="str">
        <f aca="false">COUNT('Pivot Productivity'!F5:F33)&amp;" of 29"</f>
        <v>26 of 29</v>
      </c>
      <c r="G5" s="218" t="str">
        <f aca="false" t="array" ref="G5:G5">SUMPRODUCT(--('Pivot Productivity'!D5:D33&lt;&gt;""),--('Pivot Productivity'!E5:E33&lt;&gt;""),--('Pivot Productivity'!F5:F33&lt;&gt;""))&amp;" of 29"</f>
        <v>25 of 29</v>
      </c>
      <c r="H5" s="213"/>
      <c r="I5" s="213"/>
      <c r="J5" s="213"/>
    </row>
    <row r="6" customFormat="false" ht="14.25" hidden="false" customHeight="true" outlineLevel="0" collapsed="false">
      <c r="A6" s="213"/>
      <c r="B6" s="213"/>
      <c r="C6" s="213"/>
      <c r="D6" s="213"/>
      <c r="E6" s="213"/>
      <c r="F6" s="213"/>
      <c r="G6" s="213"/>
      <c r="H6" s="213"/>
      <c r="I6" s="213"/>
      <c r="J6" s="213"/>
    </row>
    <row r="7" customFormat="false" ht="27.75" hidden="false" customHeight="true" outlineLevel="0" collapsed="false">
      <c r="A7" s="225" t="s">
        <v>430</v>
      </c>
      <c r="B7" s="225" t="s">
        <v>431</v>
      </c>
      <c r="C7" s="225" t="s">
        <v>394</v>
      </c>
      <c r="D7" s="225" t="s">
        <v>398</v>
      </c>
      <c r="E7" s="225" t="s">
        <v>402</v>
      </c>
      <c r="F7" s="225" t="s">
        <v>432</v>
      </c>
      <c r="G7" s="225" t="s">
        <v>433</v>
      </c>
      <c r="H7" s="225" t="s">
        <v>434</v>
      </c>
      <c r="I7" s="225" t="s">
        <v>435</v>
      </c>
      <c r="J7" s="225" t="s">
        <v>436</v>
      </c>
    </row>
    <row r="8" customFormat="false" ht="68.25" hidden="false" customHeight="true" outlineLevel="0" collapsed="false">
      <c r="A8" s="213" t="str">
        <f aca="false">'Pivot Productivity'!A5</f>
        <v>Account Services</v>
      </c>
      <c r="B8" s="213" t="str">
        <f aca="false">IF(E8="","Data gap",IF(C8="","No Q1 baseline",IF(AND(D8&gt;C8,E8&gt;D8),"Sustained increase",IF(AND(D8&lt;C8,E8&lt;D8),"Sustained decline",IF(AND(D8&lt;C8,E8&gt;D8),"Q3TD recovery",IF(AND(D8&gt;C8,E8&lt;D8),"Q3TD reversal","Stable / mixed"))))))</f>
        <v>Q3TD reversal</v>
      </c>
      <c r="C8" s="221" t="n">
        <f aca="false">IF('Pivot Productivity'!D5="","",'Pivot Productivity'!D5)</f>
        <v>10.3009259259259</v>
      </c>
      <c r="D8" s="221" t="n">
        <f aca="false">IF('Pivot Productivity'!E5="","",'Pivot Productivity'!E5)</f>
        <v>11.2805555555556</v>
      </c>
      <c r="E8" s="221" t="n">
        <f aca="false">IF('Pivot Productivity'!F5="","",'Pivot Productivity'!F5)</f>
        <v>10.3833333333333</v>
      </c>
      <c r="F8" s="221" t="n">
        <f aca="false">IF(OR(C8="",D8=""),"",D8-C8)</f>
        <v>0.979629629629699</v>
      </c>
      <c r="G8" s="221" t="n">
        <f aca="false">IF(OR(D8="",E8=""),"",E8-D8)</f>
        <v>-0.897222222222299</v>
      </c>
      <c r="H8" s="223" t="str">
        <f aca="false">IF(E8="","Q3TD is missing; Q1 was "&amp;TEXT(C8,"0.0")&amp;" and Q2 was "&amp;TEXT(D8,"0.0")&amp;".",IF(C8="","No Q1 baseline. Q2 was "&amp;TEXT(D8,"0.0")&amp;" and Q3TD is "&amp;TEXT(E8,"0.0")&amp;"; the Q3TD comparison remains preliminary.","Q1 "&amp;TEXT(C8,"0.0")&amp;" → Q2 "&amp;TEXT(D8,"0.0")&amp;" → Q3TD "&amp;TEXT(E8,"0.0")&amp;". Pattern: "&amp;LOWER(B8)&amp;"; Q3TD remains partial."))</f>
        <v>Q1 10.3 → Q2 11.3 → Q3TD 10.4. Pattern: q3td reversal; Q3TD remains partial.</v>
      </c>
      <c r="I8" s="223" t="str">
        <f aca="false">IF(B8="Sustained increase","Which repeatable practices drove improvement from Q1 through Q3TD, and can they be sustained through quarter-end?",IF(B8="Sustained decline","What persistent constraint has reduced productivity since Q1, and what corrective action is planned?",IF(B8="Q3TD recovery","What changed after the Q2 decline, and is the Q3TD recovery supported by enough sprint evidence?",IF(B8="Q3TD reversal","What changed after the Q2 improvement, and is the Q3TD reversal caused by capacity, complexity, dependencies, scope, or timing?",IF(B8="Data gap","When will Q3TD data be available, and should the missing value be treated as pending rather than zero?",IF(B8="No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8" s="213"/>
    </row>
    <row r="9" customFormat="false" ht="68.25" hidden="false" customHeight="true" outlineLevel="0" collapsed="false">
      <c r="A9" s="213" t="str">
        <f aca="false">'Pivot Productivity'!A6</f>
        <v>Account Services - BRE</v>
      </c>
      <c r="B9" s="213" t="str">
        <f aca="false">IF(E9="","Data gap",IF(C9="","No Q1 baseline",IF(AND(D9&gt;C9,E9&gt;D9),"Sustained increase",IF(AND(D9&lt;C9,E9&lt;D9),"Sustained decline",IF(AND(D9&lt;C9,E9&gt;D9),"Q3TD recovery",IF(AND(D9&gt;C9,E9&lt;D9),"Q3TD reversal","Stable / mixed"))))))</f>
        <v>Q3TD reversal</v>
      </c>
      <c r="C9" s="221" t="n">
        <f aca="false">IF('Pivot Productivity'!D6="","",'Pivot Productivity'!D6)</f>
        <v>11.6666666666667</v>
      </c>
      <c r="D9" s="221" t="n">
        <f aca="false">IF('Pivot Productivity'!E6="","",'Pivot Productivity'!E6)</f>
        <v>13.6666666666667</v>
      </c>
      <c r="E9" s="221" t="n">
        <f aca="false">IF('Pivot Productivity'!F6="","",'Pivot Productivity'!F6)</f>
        <v>11.5</v>
      </c>
      <c r="F9" s="221" t="n">
        <f aca="false">IF(OR(C9="",D9=""),"",D9-C9)</f>
        <v>2</v>
      </c>
      <c r="G9" s="221" t="n">
        <f aca="false">IF(OR(D9="",E9=""),"",E9-D9)</f>
        <v>-2.1666666666667</v>
      </c>
      <c r="H9" s="223" t="str">
        <f aca="false">IF(E9="","Q3TD is missing; Q1 was "&amp;TEXT(C9,"0.0")&amp;" and Q2 was "&amp;TEXT(D9,"0.0")&amp;".",IF(C9="","No Q1 baseline. Q2 was "&amp;TEXT(D9,"0.0")&amp;" and Q3TD is "&amp;TEXT(E9,"0.0")&amp;"; the Q3TD comparison remains preliminary.","Q1 "&amp;TEXT(C9,"0.0")&amp;" → Q2 "&amp;TEXT(D9,"0.0")&amp;" → Q3TD "&amp;TEXT(E9,"0.0")&amp;". Pattern: "&amp;LOWER(B9)&amp;"; Q3TD remains partial."))</f>
        <v>Q1 11.7 → Q2 13.7 → Q3TD 11.5. Pattern: q3td reversal; Q3TD remains partial.</v>
      </c>
      <c r="I9" s="223" t="str">
        <f aca="false">IF(B9="Sustained increase","Which repeatable practices drove improvement from Q1 through Q3TD, and can they be sustained through quarter-end?",IF(B9="Sustained decline","What persistent constraint has reduced productivity since Q1, and what corrective action is planned?",IF(B9="Q3TD recovery","What changed after the Q2 decline, and is the Q3TD recovery supported by enough sprint evidence?",IF(B9="Q3TD reversal","What changed after the Q2 improvement, and is the Q3TD reversal caused by capacity, complexity, dependencies, scope, or timing?",IF(B9="Data gap","When will Q3TD data be available, and should the missing value be treated as pending rather than zero?",IF(B9="No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9" s="213"/>
    </row>
    <row r="10" customFormat="false" ht="54.75" hidden="false" customHeight="true" outlineLevel="0" collapsed="false">
      <c r="A10" s="213" t="str">
        <f aca="false">'Pivot Productivity'!A7</f>
        <v>Account Services - NOW</v>
      </c>
      <c r="B10" s="213" t="str">
        <f aca="false">IF(E10="","Data gap",IF(C10="","No Q1 baseline",IF(AND(D10&gt;C10,E10&gt;D10),"Sustained increase",IF(AND(D10&lt;C10,E10&lt;D10),"Sustained decline",IF(AND(D10&lt;C10,E10&gt;D10),"Q3TD recovery",IF(AND(D10&gt;C10,E10&lt;D10),"Q3TD reversal","Stable / mixed"))))))</f>
        <v>Data gap</v>
      </c>
      <c r="C10" s="221" t="n">
        <f aca="false">IF('Pivot Productivity'!D7="","",'Pivot Productivity'!D7)</f>
        <v>7.5</v>
      </c>
      <c r="D10" s="221" t="n">
        <f aca="false">IF('Pivot Productivity'!E7="","",'Pivot Productivity'!E7)</f>
        <v>10</v>
      </c>
      <c r="E10" s="221" t="str">
        <f aca="false">IF('Pivot Productivity'!F7="","",'Pivot Productivity'!F7)</f>
        <v/>
      </c>
      <c r="F10" s="221" t="n">
        <f aca="false">IF(OR(C10="",D10=""),"",D10-C10)</f>
        <v>2.5</v>
      </c>
      <c r="G10" s="221" t="str">
        <f aca="false">IF(OR(D10="",E10=""),"",E10-D10)</f>
        <v/>
      </c>
      <c r="H10" s="223" t="str">
        <f aca="false">IF(E10="","Q3TD is missing; Q1 was "&amp;TEXT(C10,"0.0")&amp;" and Q2 was "&amp;TEXT(D10,"0.0")&amp;".",IF(C10="","No Q1 baseline. Q2 was "&amp;TEXT(D10,"0.0")&amp;" and Q3TD is "&amp;TEXT(E10,"0.0")&amp;"; the Q3TD comparison remains preliminary.","Q1 "&amp;TEXT(C10,"0.0")&amp;" → Q2 "&amp;TEXT(D10,"0.0")&amp;" → Q3TD "&amp;TEXT(E10,"0.0")&amp;". Pattern: "&amp;LOWER(B10)&amp;"; Q3TD remains partial."))</f>
        <v>Q3TD is missing; Q1 was 7.5 and Q2 was 10.0.</v>
      </c>
      <c r="I10" s="223" t="str">
        <f aca="false">IF(B10="Sustained increase","Which repeatable practices drove improvement from Q1 through Q3TD, and can they be sustained through quarter-end?",IF(B10="Sustained decline","What persistent constraint has reduced productivity since Q1, and what corrective action is planned?",IF(B10="Q3TD recovery","What changed after the Q2 decline, and is the Q3TD recovery supported by enough sprint evidence?",IF(B10="Q3TD reversal","What changed after the Q2 improvement, and is the Q3TD reversal caused by capacity, complexity, dependencies, scope, or timing?",IF(B10="Data gap","When will Q3TD data be available, and should the missing value be treated as pending rather than zero?",IF(B10="No Q1 baseline","Why is Q1 unavailable, and what baseline should be used to assess this application?","What explains the stable or mixed pattern, and what should be monitored in the remaining Q3 sprints?"))))))</f>
        <v>When will Q3TD data be available, and should the missing value be treated as pending rather than zero?</v>
      </c>
      <c r="J10" s="213"/>
    </row>
    <row r="11" customFormat="false" ht="54.75" hidden="false" customHeight="true" outlineLevel="0" collapsed="false">
      <c r="A11" s="213" t="str">
        <f aca="false">'Pivot Productivity'!A8</f>
        <v>Account Services - XM PDF</v>
      </c>
      <c r="B11" s="213" t="str">
        <f aca="false">IF(E11="","Data gap",IF(C11="","No Q1 baseline",IF(AND(D11&gt;C11,E11&gt;D11),"Sustained increase",IF(AND(D11&lt;C11,E11&lt;D11),"Sustained decline",IF(AND(D11&lt;C11,E11&gt;D11),"Q3TD recovery",IF(AND(D11&gt;C11,E11&lt;D11),"Q3TD reversal","Stable / mixed"))))))</f>
        <v>Sustained decline</v>
      </c>
      <c r="C11" s="221" t="n">
        <f aca="false">IF('Pivot Productivity'!D8="","",'Pivot Productivity'!D8)</f>
        <v>11.7361111111111</v>
      </c>
      <c r="D11" s="221" t="n">
        <f aca="false">IF('Pivot Productivity'!E8="","",'Pivot Productivity'!E8)</f>
        <v>10.175</v>
      </c>
      <c r="E11" s="221" t="n">
        <f aca="false">IF('Pivot Productivity'!F8="","",'Pivot Productivity'!F8)</f>
        <v>9.26666666666667</v>
      </c>
      <c r="F11" s="221" t="n">
        <f aca="false">IF(OR(C11="",D11=""),"",D11-C11)</f>
        <v>-1.5611111111111</v>
      </c>
      <c r="G11" s="221" t="n">
        <f aca="false">IF(OR(D11="",E11=""),"",E11-D11)</f>
        <v>-0.908333333333331</v>
      </c>
      <c r="H11" s="223" t="str">
        <f aca="false">IF(E11="","Q3TD is missing; Q1 was "&amp;TEXT(C11,"0.0")&amp;" and Q2 was "&amp;TEXT(D11,"0.0")&amp;".",IF(C11="","No Q1 baseline. Q2 was "&amp;TEXT(D11,"0.0")&amp;" and Q3TD is "&amp;TEXT(E11,"0.0")&amp;"; the Q3TD comparison remains preliminary.","Q1 "&amp;TEXT(C11,"0.0")&amp;" → Q2 "&amp;TEXT(D11,"0.0")&amp;" → Q3TD "&amp;TEXT(E11,"0.0")&amp;". Pattern: "&amp;LOWER(B11)&amp;"; Q3TD remains partial."))</f>
        <v>Q1 11.7 → Q2 10.2 → Q3TD 9.3. Pattern: sustained decline; Q3TD remains partial.</v>
      </c>
      <c r="I11" s="223" t="str">
        <f aca="false">IF(B11="Sustained increase","Which repeatable practices drove improvement from Q1 through Q3TD, and can they be sustained through quarter-end?",IF(B11="Sustained decline","What persistent constraint has reduced productivity since Q1, and what corrective action is planned?",IF(B11="Q3TD recovery","What changed after the Q2 decline, and is the Q3TD recovery supported by enough sprint evidence?",IF(B11="Q3TD reversal","What changed after the Q2 improvement, and is the Q3TD reversal caused by capacity, complexity, dependencies, scope, or timing?",IF(B11="Data gap","When will Q3TD data be available, and should the missing value be treated as pending rather than zero?",IF(B11="No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11" s="213"/>
    </row>
    <row r="12" customFormat="false" ht="68.25" hidden="false" customHeight="true" outlineLevel="0" collapsed="false">
      <c r="A12" s="213" t="str">
        <f aca="false">'Pivot Productivity'!A9</f>
        <v>Assisted Tools</v>
      </c>
      <c r="B12" s="213" t="str">
        <f aca="false">IF(E12="","Data gap",IF(C12="","No Q1 baseline",IF(AND(D12&gt;C12,E12&gt;D12),"Sustained increase",IF(AND(D12&lt;C12,E12&lt;D12),"Sustained decline",IF(AND(D12&lt;C12,E12&gt;D12),"Q3TD recovery",IF(AND(D12&gt;C12,E12&lt;D12),"Q3TD reversal","Stable / mixed"))))))</f>
        <v>Q3TD reversal</v>
      </c>
      <c r="C12" s="221" t="n">
        <f aca="false">IF('Pivot Productivity'!D9="","",'Pivot Productivity'!D9)</f>
        <v>7.24011396011396</v>
      </c>
      <c r="D12" s="221" t="n">
        <f aca="false">IF('Pivot Productivity'!E9="","",'Pivot Productivity'!E9)</f>
        <v>7.37774165648738</v>
      </c>
      <c r="E12" s="221" t="n">
        <f aca="false">IF('Pivot Productivity'!F9="","",'Pivot Productivity'!F9)</f>
        <v>7.041</v>
      </c>
      <c r="F12" s="221" t="n">
        <f aca="false">IF(OR(C12="",D12=""),"",D12-C12)</f>
        <v>0.13762769637342</v>
      </c>
      <c r="G12" s="221" t="n">
        <f aca="false">IF(OR(D12="",E12=""),"",E12-D12)</f>
        <v>-0.33674165648738</v>
      </c>
      <c r="H12" s="223" t="str">
        <f aca="false">IF(E12="","Q3TD is missing; Q1 was "&amp;TEXT(C12,"0.0")&amp;" and Q2 was "&amp;TEXT(D12,"0.0")&amp;".",IF(C12="","No Q1 baseline. Q2 was "&amp;TEXT(D12,"0.0")&amp;" and Q3TD is "&amp;TEXT(E12,"0.0")&amp;"; the Q3TD comparison remains preliminary.","Q1 "&amp;TEXT(C12,"0.0")&amp;" → Q2 "&amp;TEXT(D12,"0.0")&amp;" → Q3TD "&amp;TEXT(E12,"0.0")&amp;". Pattern: "&amp;LOWER(B12)&amp;"; Q3TD remains partial."))</f>
        <v>Q1 7.2 → Q2 7.4 → Q3TD 7.0. Pattern: q3td reversal; Q3TD remains partial.</v>
      </c>
      <c r="I12" s="223" t="str">
        <f aca="false">IF(B12="Sustained increase","Which repeatable practices drove improvement from Q1 through Q3TD, and can they be sustained through quarter-end?",IF(B12="Sustained decline","What persistent constraint has reduced productivity since Q1, and what corrective action is planned?",IF(B12="Q3TD recovery","What changed after the Q2 decline, and is the Q3TD recovery supported by enough sprint evidence?",IF(B12="Q3TD reversal","What changed after the Q2 improvement, and is the Q3TD reversal caused by capacity, complexity, dependencies, scope, or timing?",IF(B12="Data gap","When will Q3TD data be available, and should the missing value be treated as pending rather than zero?",IF(B12="No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12" s="213"/>
    </row>
    <row r="13" customFormat="false" ht="68.25" hidden="false" customHeight="true" outlineLevel="0" collapsed="false">
      <c r="A13" s="213" t="str">
        <f aca="false">'Pivot Productivity'!A10</f>
        <v>CPOS</v>
      </c>
      <c r="B13" s="213" t="str">
        <f aca="false">IF(E13="","Data gap",IF(C13="","No Q1 baseline",IF(AND(D13&gt;C13,E13&gt;D13),"Sustained increase",IF(AND(D13&lt;C13,E13&lt;D13),"Sustained decline",IF(AND(D13&lt;C13,E13&gt;D13),"Q3TD recovery",IF(AND(D13&gt;C13,E13&lt;D13),"Q3TD reversal","Stable / mixed"))))))</f>
        <v>Q3TD reversal</v>
      </c>
      <c r="C13" s="221" t="n">
        <f aca="false">IF('Pivot Productivity'!D10="","",'Pivot Productivity'!D10)</f>
        <v>6.20833333333333</v>
      </c>
      <c r="D13" s="221" t="n">
        <f aca="false">IF('Pivot Productivity'!E10="","",'Pivot Productivity'!E10)</f>
        <v>6.425</v>
      </c>
      <c r="E13" s="221" t="n">
        <f aca="false">IF('Pivot Productivity'!F10="","",'Pivot Productivity'!F10)</f>
        <v>5.08333333333333</v>
      </c>
      <c r="F13" s="221" t="n">
        <f aca="false">IF(OR(C13="",D13=""),"",D13-C13)</f>
        <v>0.216666666666669</v>
      </c>
      <c r="G13" s="221" t="n">
        <f aca="false">IF(OR(D13="",E13=""),"",E13-D13)</f>
        <v>-1.34166666666667</v>
      </c>
      <c r="H13" s="223" t="str">
        <f aca="false">IF(E13="","Q3TD is missing; Q1 was "&amp;TEXT(C13,"0.0")&amp;" and Q2 was "&amp;TEXT(D13,"0.0")&amp;".",IF(C13="","No Q1 baseline. Q2 was "&amp;TEXT(D13,"0.0")&amp;" and Q3TD is "&amp;TEXT(E13,"0.0")&amp;"; the Q3TD comparison remains preliminary.","Q1 "&amp;TEXT(C13,"0.0")&amp;" → Q2 "&amp;TEXT(D13,"0.0")&amp;" → Q3TD "&amp;TEXT(E13,"0.0")&amp;". Pattern: "&amp;LOWER(B13)&amp;"; Q3TD remains partial."))</f>
        <v>Q1 6.2 → Q2 6.4 → Q3TD 5.1. Pattern: q3td reversal; Q3TD remains partial.</v>
      </c>
      <c r="I13" s="223" t="str">
        <f aca="false">IF(B13="Sustained increase","Which repeatable practices drove improvement from Q1 through Q3TD, and can they be sustained through quarter-end?",IF(B13="Sustained decline","What persistent constraint has reduced productivity since Q1, and what corrective action is planned?",IF(B13="Q3TD recovery","What changed after the Q2 decline, and is the Q3TD recovery supported by enough sprint evidence?",IF(B13="Q3TD reversal","What changed after the Q2 improvement, and is the Q3TD reversal caused by capacity, complexity, dependencies, scope, or timing?",IF(B13="Data gap","When will Q3TD data be available, and should the missing value be treated as pending rather than zero?",IF(B13="No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13" s="213"/>
    </row>
    <row r="14" customFormat="false" ht="54.75" hidden="false" customHeight="true" outlineLevel="0" collapsed="false">
      <c r="A14" s="213" t="str">
        <f aca="false">'Pivot Productivity'!A11</f>
        <v>XM Velocity 1/Xceeders</v>
      </c>
      <c r="B14" s="213" t="str">
        <f aca="false">IF(E14="","Data gap",IF(C14="","No Q1 baseline",IF(AND(D14&gt;C14,E14&gt;D14),"Sustained increase",IF(AND(D14&lt;C14,E14&lt;D14),"Sustained decline",IF(AND(D14&lt;C14,E14&gt;D14),"Q3TD recovery",IF(AND(D14&gt;C14,E14&lt;D14),"Q3TD reversal","Stable / mixed"))))))</f>
        <v>Sustained increase</v>
      </c>
      <c r="C14" s="221" t="n">
        <f aca="false">IF('Pivot Productivity'!D11="","",'Pivot Productivity'!D11)</f>
        <v>7.01679487179487</v>
      </c>
      <c r="D14" s="221" t="n">
        <f aca="false">IF('Pivot Productivity'!E11="","",'Pivot Productivity'!E11)</f>
        <v>7.27205128205128</v>
      </c>
      <c r="E14" s="221" t="n">
        <f aca="false">IF('Pivot Productivity'!F11="","",'Pivot Productivity'!F11)</f>
        <v>7.85</v>
      </c>
      <c r="F14" s="221" t="n">
        <f aca="false">IF(OR(C14="",D14=""),"",D14-C14)</f>
        <v>0.25525641025641</v>
      </c>
      <c r="G14" s="221" t="n">
        <f aca="false">IF(OR(D14="",E14=""),"",E14-D14)</f>
        <v>0.577948717948719</v>
      </c>
      <c r="H14" s="223" t="str">
        <f aca="false">IF(E14="","Q3TD is missing; Q1 was "&amp;TEXT(C14,"0.0")&amp;" and Q2 was "&amp;TEXT(D14,"0.0")&amp;".",IF(C14="","No Q1 baseline. Q2 was "&amp;TEXT(D14,"0.0")&amp;" and Q3TD is "&amp;TEXT(E14,"0.0")&amp;"; the Q3TD comparison remains preliminary.","Q1 "&amp;TEXT(C14,"0.0")&amp;" → Q2 "&amp;TEXT(D14,"0.0")&amp;" → Q3TD "&amp;TEXT(E14,"0.0")&amp;". Pattern: "&amp;LOWER(B14)&amp;"; Q3TD remains partial."))</f>
        <v>Q1 7.0 → Q2 7.3 → Q3TD 7.9. Pattern: sustained increase; Q3TD remains partial.</v>
      </c>
      <c r="I14" s="223" t="str">
        <f aca="false">IF(B14="Sustained increase","Which repeatable practices drove improvement from Q1 through Q3TD, and can they be sustained through quarter-end?",IF(B14="Sustained decline","What persistent constraint has reduced productivity since Q1, and what corrective action is planned?",IF(B14="Q3TD recovery","What changed after the Q2 decline, and is the Q3TD recovery supported by enough sprint evidence?",IF(B14="Q3TD reversal","What changed after the Q2 improvement, and is the Q3TD reversal caused by capacity, complexity, dependencies, scope, or timing?",IF(B14="Data gap","When will Q3TD data be available, and should the missing value be treated as pending rather than zero?",IF(B14="No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14" s="213"/>
    </row>
    <row r="15" customFormat="false" ht="54.75" hidden="false" customHeight="true" outlineLevel="0" collapsed="false">
      <c r="A15" s="213" t="str">
        <f aca="false">'Pivot Productivity'!A12</f>
        <v>XM Velocity 2/Xplorers</v>
      </c>
      <c r="B15" s="213" t="str">
        <f aca="false">IF(E15="","Data gap",IF(C15="","No Q1 baseline",IF(AND(D15&gt;C15,E15&gt;D15),"Sustained increase",IF(AND(D15&lt;C15,E15&lt;D15),"Sustained decline",IF(AND(D15&lt;C15,E15&gt;D15),"Q3TD recovery",IF(AND(D15&gt;C15,E15&lt;D15),"Q3TD reversal","Stable / mixed"))))))</f>
        <v>Data gap</v>
      </c>
      <c r="C15" s="221" t="n">
        <f aca="false">IF('Pivot Productivity'!D12="","",'Pivot Productivity'!D12)</f>
        <v>6.17055555555556</v>
      </c>
      <c r="D15" s="221" t="n">
        <f aca="false">IF('Pivot Productivity'!E12="","",'Pivot Productivity'!E12)</f>
        <v>6.60856532353968</v>
      </c>
      <c r="E15" s="221" t="str">
        <f aca="false">IF('Pivot Productivity'!F12="","",'Pivot Productivity'!F12)</f>
        <v/>
      </c>
      <c r="F15" s="221" t="n">
        <f aca="false">IF(OR(C15="",D15=""),"",D15-C15)</f>
        <v>0.43800976798412</v>
      </c>
      <c r="G15" s="221" t="str">
        <f aca="false">IF(OR(D15="",E15=""),"",E15-D15)</f>
        <v/>
      </c>
      <c r="H15" s="223" t="str">
        <f aca="false">IF(E15="","Q3TD is missing; Q1 was "&amp;TEXT(C15,"0.0")&amp;" and Q2 was "&amp;TEXT(D15,"0.0")&amp;".",IF(C15="","No Q1 baseline. Q2 was "&amp;TEXT(D15,"0.0")&amp;" and Q3TD is "&amp;TEXT(E15,"0.0")&amp;"; the Q3TD comparison remains preliminary.","Q1 "&amp;TEXT(C15,"0.0")&amp;" → Q2 "&amp;TEXT(D15,"0.0")&amp;" → Q3TD "&amp;TEXT(E15,"0.0")&amp;". Pattern: "&amp;LOWER(B15)&amp;"; Q3TD remains partial."))</f>
        <v>Q3TD is missing; Q1 was 6.2 and Q2 was 6.6.</v>
      </c>
      <c r="I15" s="223" t="str">
        <f aca="false">IF(B15="Sustained increase","Which repeatable practices drove improvement from Q1 through Q3TD, and can they be sustained through quarter-end?",IF(B15="Sustained decline","What persistent constraint has reduced productivity since Q1, and what corrective action is planned?",IF(B15="Q3TD recovery","What changed after the Q2 decline, and is the Q3TD recovery supported by enough sprint evidence?",IF(B15="Q3TD reversal","What changed after the Q2 improvement, and is the Q3TD reversal caused by capacity, complexity, dependencies, scope, or timing?",IF(B15="Data gap","When will Q3TD data be available, and should the missing value be treated as pending rather than zero?",IF(B15="No Q1 baseline","Why is Q1 unavailable, and what baseline should be used to assess this application?","What explains the stable or mixed pattern, and what should be monitored in the remaining Q3 sprints?"))))))</f>
        <v>When will Q3TD data be available, and should the missing value be treated as pending rather than zero?</v>
      </c>
      <c r="J15" s="213"/>
    </row>
    <row r="16" customFormat="false" ht="54.75" hidden="false" customHeight="true" outlineLevel="0" collapsed="false">
      <c r="A16" s="213" t="str">
        <f aca="false">'Pivot Productivity'!A13</f>
        <v>XM360 CBM/Phoenix</v>
      </c>
      <c r="B16" s="213" t="str">
        <f aca="false">IF(E16="","Data gap",IF(C16="","No Q1 baseline",IF(AND(D16&gt;C16,E16&gt;D16),"Sustained increase",IF(AND(D16&lt;C16,E16&lt;D16),"Sustained decline",IF(AND(D16&lt;C16,E16&gt;D16),"Q3TD recovery",IF(AND(D16&gt;C16,E16&lt;D16),"Q3TD reversal","Stable / mixed"))))))</f>
        <v>Sustained decline</v>
      </c>
      <c r="C16" s="221" t="n">
        <f aca="false">IF('Pivot Productivity'!D13="","",'Pivot Productivity'!D13)</f>
        <v>7.4375</v>
      </c>
      <c r="D16" s="221" t="n">
        <f aca="false">IF('Pivot Productivity'!E13="","",'Pivot Productivity'!E13)</f>
        <v>5.81416666666667</v>
      </c>
      <c r="E16" s="221" t="n">
        <f aca="false">IF('Pivot Productivity'!F13="","",'Pivot Productivity'!F13)</f>
        <v>5.295</v>
      </c>
      <c r="F16" s="221" t="n">
        <f aca="false">IF(OR(C16="",D16=""),"",D16-C16)</f>
        <v>-1.62333333333333</v>
      </c>
      <c r="G16" s="221" t="n">
        <f aca="false">IF(OR(D16="",E16=""),"",E16-D16)</f>
        <v>-0.51916666666667</v>
      </c>
      <c r="H16" s="223" t="str">
        <f aca="false">IF(E16="","Q3TD is missing; Q1 was "&amp;TEXT(C16,"0.0")&amp;" and Q2 was "&amp;TEXT(D16,"0.0")&amp;".",IF(C16="","No Q1 baseline. Q2 was "&amp;TEXT(D16,"0.0")&amp;" and Q3TD is "&amp;TEXT(E16,"0.0")&amp;"; the Q3TD comparison remains preliminary.","Q1 "&amp;TEXT(C16,"0.0")&amp;" → Q2 "&amp;TEXT(D16,"0.0")&amp;" → Q3TD "&amp;TEXT(E16,"0.0")&amp;". Pattern: "&amp;LOWER(B16)&amp;"; Q3TD remains partial."))</f>
        <v>Q1 7.4 → Q2 5.8 → Q3TD 5.3. Pattern: sustained decline; Q3TD remains partial.</v>
      </c>
      <c r="I16" s="223" t="str">
        <f aca="false">IF(B16="Sustained increase","Which repeatable practices drove improvement from Q1 through Q3TD, and can they be sustained through quarter-end?",IF(B16="Sustained decline","What persistent constraint has reduced productivity since Q1, and what corrective action is planned?",IF(B16="Q3TD recovery","What changed after the Q2 decline, and is the Q3TD recovery supported by enough sprint evidence?",IF(B16="Q3TD reversal","What changed after the Q2 improvement, and is the Q3TD reversal caused by capacity, complexity, dependencies, scope, or timing?",IF(B16="Data gap","When will Q3TD data be available, and should the missing value be treated as pending rather than zero?",IF(B16="No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16" s="213"/>
    </row>
    <row r="17" customFormat="false" ht="54.75" hidden="false" customHeight="true" outlineLevel="0" collapsed="false">
      <c r="A17" s="213" t="str">
        <f aca="false">'Pivot Productivity'!A14</f>
        <v>XM360 Supersonix</v>
      </c>
      <c r="B17" s="213" t="str">
        <f aca="false">IF(E17="","Data gap",IF(C17="","No Q1 baseline",IF(AND(D17&gt;C17,E17&gt;D17),"Sustained increase",IF(AND(D17&lt;C17,E17&lt;D17),"Sustained decline",IF(AND(D17&lt;C17,E17&gt;D17),"Q3TD recovery",IF(AND(D17&gt;C17,E17&lt;D17),"Q3TD reversal","Stable / mixed"))))))</f>
        <v>Sustained decline</v>
      </c>
      <c r="C17" s="221" t="n">
        <f aca="false">IF('Pivot Productivity'!D14="","",'Pivot Productivity'!D14)</f>
        <v>7.62583333333333</v>
      </c>
      <c r="D17" s="221" t="n">
        <f aca="false">IF('Pivot Productivity'!E14="","",'Pivot Productivity'!E14)</f>
        <v>7.48</v>
      </c>
      <c r="E17" s="221" t="n">
        <f aca="false">IF('Pivot Productivity'!F14="","",'Pivot Productivity'!F14)</f>
        <v>5.37666666666667</v>
      </c>
      <c r="F17" s="221" t="n">
        <f aca="false">IF(OR(C17="",D17=""),"",D17-C17)</f>
        <v>-0.145833333333329</v>
      </c>
      <c r="G17" s="221" t="n">
        <f aca="false">IF(OR(D17="",E17=""),"",E17-D17)</f>
        <v>-2.10333333333333</v>
      </c>
      <c r="H17" s="223" t="str">
        <f aca="false">IF(E17="","Q3TD is missing; Q1 was "&amp;TEXT(C17,"0.0")&amp;" and Q2 was "&amp;TEXT(D17,"0.0")&amp;".",IF(C17="","No Q1 baseline. Q2 was "&amp;TEXT(D17,"0.0")&amp;" and Q3TD is "&amp;TEXT(E17,"0.0")&amp;"; the Q3TD comparison remains preliminary.","Q1 "&amp;TEXT(C17,"0.0")&amp;" → Q2 "&amp;TEXT(D17,"0.0")&amp;" → Q3TD "&amp;TEXT(E17,"0.0")&amp;". Pattern: "&amp;LOWER(B17)&amp;"; Q3TD remains partial."))</f>
        <v>Q1 7.6 → Q2 7.5 → Q3TD 5.4. Pattern: sustained decline; Q3TD remains partial.</v>
      </c>
      <c r="I17" s="223" t="str">
        <f aca="false">IF(B17="Sustained increase","Which repeatable practices drove improvement from Q1 through Q3TD, and can they be sustained through quarter-end?",IF(B17="Sustained decline","What persistent constraint has reduced productivity since Q1, and what corrective action is planned?",IF(B17="Q3TD recovery","What changed after the Q2 decline, and is the Q3TD recovery supported by enough sprint evidence?",IF(B17="Q3TD reversal","What changed after the Q2 improvement, and is the Q3TD reversal caused by capacity, complexity, dependencies, scope, or timing?",IF(B17="Data gap","When will Q3TD data be available, and should the missing value be treated as pending rather than zero?",IF(B17="No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17" s="213"/>
    </row>
    <row r="18" customFormat="false" ht="54.75" hidden="false" customHeight="true" outlineLevel="0" collapsed="false">
      <c r="A18" s="213" t="str">
        <f aca="false">'Pivot Productivity'!A15</f>
        <v>Xumo</v>
      </c>
      <c r="B18" s="213" t="str">
        <f aca="false">IF(E18="","Data gap",IF(C18="","No Q1 baseline",IF(AND(D18&gt;C18,E18&gt;D18),"Sustained increase",IF(AND(D18&lt;C18,E18&lt;D18),"Sustained decline",IF(AND(D18&lt;C18,E18&gt;D18),"Q3TD recovery",IF(AND(D18&gt;C18,E18&lt;D18),"Q3TD reversal","Stable / mixed"))))))</f>
        <v>Sustained increase</v>
      </c>
      <c r="C18" s="221" t="n">
        <f aca="false">IF('Pivot Productivity'!D15="","",'Pivot Productivity'!D15)</f>
        <v>8.98166666666667</v>
      </c>
      <c r="D18" s="221" t="n">
        <f aca="false">IF('Pivot Productivity'!E15="","",'Pivot Productivity'!E15)</f>
        <v>10.6666666666667</v>
      </c>
      <c r="E18" s="221" t="n">
        <f aca="false">IF('Pivot Productivity'!F15="","",'Pivot Productivity'!F15)</f>
        <v>11.6</v>
      </c>
      <c r="F18" s="221" t="n">
        <f aca="false">IF(OR(C18="",D18=""),"",D18-C18)</f>
        <v>1.68500000000003</v>
      </c>
      <c r="G18" s="221" t="n">
        <f aca="false">IF(OR(D18="",E18=""),"",E18-D18)</f>
        <v>0.9333333333333</v>
      </c>
      <c r="H18" s="223" t="str">
        <f aca="false">IF(E18="","Q3TD is missing; Q1 was "&amp;TEXT(C18,"0.0")&amp;" and Q2 was "&amp;TEXT(D18,"0.0")&amp;".",IF(C18="","No Q1 baseline. Q2 was "&amp;TEXT(D18,"0.0")&amp;" and Q3TD is "&amp;TEXT(E18,"0.0")&amp;"; the Q3TD comparison remains preliminary.","Q1 "&amp;TEXT(C18,"0.0")&amp;" → Q2 "&amp;TEXT(D18,"0.0")&amp;" → Q3TD "&amp;TEXT(E18,"0.0")&amp;". Pattern: "&amp;LOWER(B18)&amp;"; Q3TD remains partial."))</f>
        <v>Q1 9.0 → Q2 10.7 → Q3TD 11.6. Pattern: sustained increase; Q3TD remains partial.</v>
      </c>
      <c r="I18" s="223" t="str">
        <f aca="false">IF(B18="Sustained increase","Which repeatable practices drove improvement from Q1 through Q3TD, and can they be sustained through quarter-end?",IF(B18="Sustained decline","What persistent constraint has reduced productivity since Q1, and what corrective action is planned?",IF(B18="Q3TD recovery","What changed after the Q2 decline, and is the Q3TD recovery supported by enough sprint evidence?",IF(B18="Q3TD reversal","What changed after the Q2 improvement, and is the Q3TD reversal caused by capacity, complexity, dependencies, scope, or timing?",IF(B18="Data gap","When will Q3TD data be available, and should the missing value be treated as pending rather than zero?",IF(B18="No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18" s="213"/>
    </row>
    <row r="19" customFormat="false" ht="54.75" hidden="false" customHeight="true" outlineLevel="0" collapsed="false">
      <c r="A19" s="213" t="str">
        <f aca="false">'Pivot Productivity'!A16</f>
        <v>BXT</v>
      </c>
      <c r="B19" s="213" t="str">
        <f aca="false">IF(E19="","Data gap",IF(C19="","No Q1 baseline",IF(AND(D19&gt;C19,E19&gt;D19),"Sustained increase",IF(AND(D19&lt;C19,E19&lt;D19),"Sustained decline",IF(AND(D19&lt;C19,E19&gt;D19),"Q3TD recovery",IF(AND(D19&gt;C19,E19&lt;D19),"Q3TD reversal","Stable / mixed"))))))</f>
        <v>Sustained increase</v>
      </c>
      <c r="C19" s="221" t="n">
        <f aca="false">IF('Pivot Productivity'!D16="","",'Pivot Productivity'!D16)</f>
        <v>6.285</v>
      </c>
      <c r="D19" s="221" t="n">
        <f aca="false">IF('Pivot Productivity'!E16="","",'Pivot Productivity'!E16)</f>
        <v>6.79555555555556</v>
      </c>
      <c r="E19" s="221" t="n">
        <f aca="false">IF('Pivot Productivity'!F16="","",'Pivot Productivity'!F16)</f>
        <v>9.17</v>
      </c>
      <c r="F19" s="221" t="n">
        <f aca="false">IF(OR(C19="",D19=""),"",D19-C19)</f>
        <v>0.51055555555556</v>
      </c>
      <c r="G19" s="221" t="n">
        <f aca="false">IF(OR(D19="",E19=""),"",E19-D19)</f>
        <v>2.37444444444444</v>
      </c>
      <c r="H19" s="223" t="str">
        <f aca="false">IF(E19="","Q3TD is missing; Q1 was "&amp;TEXT(C19,"0.0")&amp;" and Q2 was "&amp;TEXT(D19,"0.0")&amp;".",IF(C19="","No Q1 baseline. Q2 was "&amp;TEXT(D19,"0.0")&amp;" and Q3TD is "&amp;TEXT(E19,"0.0")&amp;"; the Q3TD comparison remains preliminary.","Q1 "&amp;TEXT(C19,"0.0")&amp;" → Q2 "&amp;TEXT(D19,"0.0")&amp;" → Q3TD "&amp;TEXT(E19,"0.0")&amp;". Pattern: "&amp;LOWER(B19)&amp;"; Q3TD remains partial."))</f>
        <v>Q1 6.3 → Q2 6.8 → Q3TD 9.2. Pattern: sustained increase; Q3TD remains partial.</v>
      </c>
      <c r="I19" s="223" t="str">
        <f aca="false">IF(B19="Sustained increase","Which repeatable practices drove improvement from Q1 through Q3TD, and can they be sustained through quarter-end?",IF(B19="Sustained decline","What persistent constraint has reduced productivity since Q1, and what corrective action is planned?",IF(B19="Q3TD recovery","What changed after the Q2 decline, and is the Q3TD recovery supported by enough sprint evidence?",IF(B19="Q3TD reversal","What changed after the Q2 improvement, and is the Q3TD reversal caused by capacity, complexity, dependencies, scope, or timing?",IF(B19="Data gap","When will Q3TD data be available, and should the missing value be treated as pending rather than zero?",IF(B19="No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19" s="213"/>
    </row>
    <row r="20" customFormat="false" ht="54.75" hidden="false" customHeight="true" outlineLevel="0" collapsed="false">
      <c r="A20" s="213" t="str">
        <f aca="false">'Pivot Productivity'!A17</f>
        <v>DevOps</v>
      </c>
      <c r="B20" s="213" t="str">
        <f aca="false">IF(E20="","Data gap",IF(C20="","No Q1 baseline",IF(AND(D20&gt;C20,E20&gt;D20),"Sustained increase",IF(AND(D20&lt;C20,E20&lt;D20),"Sustained decline",IF(AND(D20&lt;C20,E20&gt;D20),"Q3TD recovery",IF(AND(D20&gt;C20,E20&lt;D20),"Q3TD reversal","Stable / mixed"))))))</f>
        <v>Sustained increase</v>
      </c>
      <c r="C20" s="221" t="n">
        <f aca="false">IF('Pivot Productivity'!D17="","",'Pivot Productivity'!D17)</f>
        <v>6.285</v>
      </c>
      <c r="D20" s="221" t="n">
        <f aca="false">IF('Pivot Productivity'!E17="","",'Pivot Productivity'!E17)</f>
        <v>6.79555555555556</v>
      </c>
      <c r="E20" s="221" t="n">
        <f aca="false">IF('Pivot Productivity'!F17="","",'Pivot Productivity'!F17)</f>
        <v>9.17</v>
      </c>
      <c r="F20" s="221" t="n">
        <f aca="false">IF(OR(C20="",D20=""),"",D20-C20)</f>
        <v>0.51055555555556</v>
      </c>
      <c r="G20" s="221" t="n">
        <f aca="false">IF(OR(D20="",E20=""),"",E20-D20)</f>
        <v>2.37444444444444</v>
      </c>
      <c r="H20" s="223" t="str">
        <f aca="false">IF(E20="","Q3TD is missing; Q1 was "&amp;TEXT(C20,"0.0")&amp;" and Q2 was "&amp;TEXT(D20,"0.0")&amp;".",IF(C20="","No Q1 baseline. Q2 was "&amp;TEXT(D20,"0.0")&amp;" and Q3TD is "&amp;TEXT(E20,"0.0")&amp;"; the Q3TD comparison remains preliminary.","Q1 "&amp;TEXT(C20,"0.0")&amp;" → Q2 "&amp;TEXT(D20,"0.0")&amp;" → Q3TD "&amp;TEXT(E20,"0.0")&amp;". Pattern: "&amp;LOWER(B20)&amp;"; Q3TD remains partial."))</f>
        <v>Q1 6.3 → Q2 6.8 → Q3TD 9.2. Pattern: sustained increase; Q3TD remains partial.</v>
      </c>
      <c r="I20" s="223" t="str">
        <f aca="false">IF(B20="Sustained increase","Which repeatable practices drove improvement from Q1 through Q3TD, and can they be sustained through quarter-end?",IF(B20="Sustained decline","What persistent constraint has reduced productivity since Q1, and what corrective action is planned?",IF(B20="Q3TD recovery","What changed after the Q2 decline, and is the Q3TD recovery supported by enough sprint evidence?",IF(B20="Q3TD reversal","What changed after the Q2 improvement, and is the Q3TD reversal caused by capacity, complexity, dependencies, scope, or timing?",IF(B20="Data gap","When will Q3TD data be available, and should the missing value be treated as pending rather than zero?",IF(B20="No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0" s="213"/>
    </row>
    <row r="21" customFormat="false" ht="54.75" hidden="false" customHeight="true" outlineLevel="0" collapsed="false">
      <c r="A21" s="213" t="str">
        <f aca="false">'Pivot Productivity'!A18</f>
        <v>Field Experience</v>
      </c>
      <c r="B21" s="213" t="str">
        <f aca="false">IF(E21="","Data gap",IF(C21="","No Q1 baseline",IF(AND(D21&gt;C21,E21&gt;D21),"Sustained increase",IF(AND(D21&lt;C21,E21&lt;D21),"Sustained decline",IF(AND(D21&lt;C21,E21&gt;D21),"Q3TD recovery",IF(AND(D21&gt;C21,E21&lt;D21),"Q3TD reversal","Stable / mixed"))))))</f>
        <v>Q3TD recovery</v>
      </c>
      <c r="C21" s="221" t="n">
        <f aca="false">IF('Pivot Productivity'!D18="","",'Pivot Productivity'!D18)</f>
        <v>7.08571428571429</v>
      </c>
      <c r="D21" s="221" t="n">
        <f aca="false">IF('Pivot Productivity'!E18="","",'Pivot Productivity'!E18)</f>
        <v>6.53088888888889</v>
      </c>
      <c r="E21" s="221" t="n">
        <f aca="false">IF('Pivot Productivity'!F18="","",'Pivot Productivity'!F18)</f>
        <v>7.41083333333333</v>
      </c>
      <c r="F21" s="221" t="n">
        <f aca="false">IF(OR(C21="",D21=""),"",D21-C21)</f>
        <v>-0.5548253968254</v>
      </c>
      <c r="G21" s="221" t="n">
        <f aca="false">IF(OR(D21="",E21=""),"",E21-D21)</f>
        <v>0.87994444444444</v>
      </c>
      <c r="H21" s="223" t="str">
        <f aca="false">IF(E21="","Q3TD is missing; Q1 was "&amp;TEXT(C21,"0.0")&amp;" and Q2 was "&amp;TEXT(D21,"0.0")&amp;".",IF(C21="","No Q1 baseline. Q2 was "&amp;TEXT(D21,"0.0")&amp;" and Q3TD is "&amp;TEXT(E21,"0.0")&amp;"; the Q3TD comparison remains preliminary.","Q1 "&amp;TEXT(C21,"0.0")&amp;" → Q2 "&amp;TEXT(D21,"0.0")&amp;" → Q3TD "&amp;TEXT(E21,"0.0")&amp;". Pattern: "&amp;LOWER(B21)&amp;"; Q3TD remains partial."))</f>
        <v>Q1 7.1 → Q2 6.5 → Q3TD 7.4. Pattern: q3td recovery; Q3TD remains partial.</v>
      </c>
      <c r="I21" s="223" t="str">
        <f aca="false">IF(B21="Sustained increase","Which repeatable practices drove improvement from Q1 through Q3TD, and can they be sustained through quarter-end?",IF(B21="Sustained decline","What persistent constraint has reduced productivity since Q1, and what corrective action is planned?",IF(B21="Q3TD recovery","What changed after the Q2 decline, and is the Q3TD recovery supported by enough sprint evidence?",IF(B21="Q3TD reversal","What changed after the Q2 improvement, and is the Q3TD reversal caused by capacity, complexity, dependencies, scope, or timing?",IF(B21="Data gap","When will Q3TD data be available, and should the missing value be treated as pending rather than zero?",IF(B21="No Q1 baseline","Why is Q1 unavailable, and what baseline should be used to assess this application?","What explains the stable or mixed pattern, and what should be monitored in the remaining Q3 sprints?"))))))</f>
        <v>What changed after the Q2 decline, and is the Q3TD recovery supported by enough sprint evidence?</v>
      </c>
      <c r="J21" s="213"/>
    </row>
    <row r="22" customFormat="false" ht="54.75" hidden="false" customHeight="true" outlineLevel="0" collapsed="false">
      <c r="A22" s="213" t="str">
        <f aca="false">'Pivot Productivity'!A19</f>
        <v>NWT - Core</v>
      </c>
      <c r="B22" s="213" t="str">
        <f aca="false">IF(E22="","Data gap",IF(C22="","No Q1 baseline",IF(AND(D22&gt;C22,E22&gt;D22),"Sustained increase",IF(AND(D22&lt;C22,E22&lt;D22),"Sustained decline",IF(AND(D22&lt;C22,E22&gt;D22),"Q3TD recovery",IF(AND(D22&gt;C22,E22&lt;D22),"Q3TD reversal","Stable / mixed"))))))</f>
        <v>Data gap</v>
      </c>
      <c r="C22" s="221" t="n">
        <f aca="false">IF('Pivot Productivity'!D19="","",'Pivot Productivity'!D19)</f>
        <v>8.06</v>
      </c>
      <c r="D22" s="221" t="n">
        <f aca="false">IF('Pivot Productivity'!E19="","",'Pivot Productivity'!E19)</f>
        <v>4.29666666666667</v>
      </c>
      <c r="E22" s="221" t="str">
        <f aca="false">IF('Pivot Productivity'!F19="","",'Pivot Productivity'!F19)</f>
        <v/>
      </c>
      <c r="F22" s="221" t="n">
        <f aca="false">IF(OR(C22="",D22=""),"",D22-C22)</f>
        <v>-3.76333333333333</v>
      </c>
      <c r="G22" s="221" t="str">
        <f aca="false">IF(OR(D22="",E22=""),"",E22-D22)</f>
        <v/>
      </c>
      <c r="H22" s="223" t="str">
        <f aca="false">IF(E22="","Q3TD is missing; Q1 was "&amp;TEXT(C22,"0.0")&amp;" and Q2 was "&amp;TEXT(D22,"0.0")&amp;".",IF(C22="","No Q1 baseline. Q2 was "&amp;TEXT(D22,"0.0")&amp;" and Q3TD is "&amp;TEXT(E22,"0.0")&amp;"; the Q3TD comparison remains preliminary.","Q1 "&amp;TEXT(C22,"0.0")&amp;" → Q2 "&amp;TEXT(D22,"0.0")&amp;" → Q3TD "&amp;TEXT(E22,"0.0")&amp;". Pattern: "&amp;LOWER(B22)&amp;"; Q3TD remains partial."))</f>
        <v>Q3TD is missing; Q1 was 8.1 and Q2 was 4.3.</v>
      </c>
      <c r="I22" s="223" t="str">
        <f aca="false">IF(B22="Sustained increase","Which repeatable practices drove improvement from Q1 through Q3TD, and can they be sustained through quarter-end?",IF(B22="Sustained decline","What persistent constraint has reduced productivity since Q1, and what corrective action is planned?",IF(B22="Q3TD recovery","What changed after the Q2 decline, and is the Q3TD recovery supported by enough sprint evidence?",IF(B22="Q3TD reversal","What changed after the Q2 improvement, and is the Q3TD reversal caused by capacity, complexity, dependencies, scope, or timing?",IF(B22="Data gap","When will Q3TD data be available, and should the missing value be treated as pending rather than zero?",IF(B22="No Q1 baseline","Why is Q1 unavailable, and what baseline should be used to assess this application?","What explains the stable or mixed pattern, and what should be monitored in the remaining Q3 sprints?"))))))</f>
        <v>When will Q3TD data be available, and should the missing value be treated as pending rather than zero?</v>
      </c>
      <c r="J22" s="213"/>
    </row>
    <row r="23" customFormat="false" ht="54.75" hidden="false" customHeight="true" outlineLevel="0" collapsed="false">
      <c r="A23" s="213" t="str">
        <f aca="false">'Pivot Productivity'!A20</f>
        <v>NWT - PSNB</v>
      </c>
      <c r="B23" s="213" t="str">
        <f aca="false">IF(E23="","Data gap",IF(C23="","No Q1 baseline",IF(AND(D23&gt;C23,E23&gt;D23),"Sustained increase",IF(AND(D23&lt;C23,E23&lt;D23),"Sustained decline",IF(AND(D23&lt;C23,E23&gt;D23),"Q3TD recovery",IF(AND(D23&gt;C23,E23&lt;D23),"Q3TD reversal","Stable / mixed"))))))</f>
        <v>Sustained decline</v>
      </c>
      <c r="C23" s="221" t="n">
        <f aca="false">IF('Pivot Productivity'!D20="","",'Pivot Productivity'!D20)</f>
        <v>7.39166666666667</v>
      </c>
      <c r="D23" s="221" t="n">
        <f aca="false">IF('Pivot Productivity'!E20="","",'Pivot Productivity'!E20)</f>
        <v>5.875</v>
      </c>
      <c r="E23" s="221" t="n">
        <f aca="false">IF('Pivot Productivity'!F20="","",'Pivot Productivity'!F20)</f>
        <v>5.5</v>
      </c>
      <c r="F23" s="221" t="n">
        <f aca="false">IF(OR(C23="",D23=""),"",D23-C23)</f>
        <v>-1.51666666666667</v>
      </c>
      <c r="G23" s="221" t="n">
        <f aca="false">IF(OR(D23="",E23=""),"",E23-D23)</f>
        <v>-0.375</v>
      </c>
      <c r="H23" s="223" t="str">
        <f aca="false">IF(E23="","Q3TD is missing; Q1 was "&amp;TEXT(C23,"0.0")&amp;" and Q2 was "&amp;TEXT(D23,"0.0")&amp;".",IF(C23="","No Q1 baseline. Q2 was "&amp;TEXT(D23,"0.0")&amp;" and Q3TD is "&amp;TEXT(E23,"0.0")&amp;"; the Q3TD comparison remains preliminary.","Q1 "&amp;TEXT(C23,"0.0")&amp;" → Q2 "&amp;TEXT(D23,"0.0")&amp;" → Q3TD "&amp;TEXT(E23,"0.0")&amp;". Pattern: "&amp;LOWER(B23)&amp;"; Q3TD remains partial."))</f>
        <v>Q1 7.4 → Q2 5.9 → Q3TD 5.5. Pattern: sustained decline; Q3TD remains partial.</v>
      </c>
      <c r="I23" s="223" t="str">
        <f aca="false">IF(B23="Sustained increase","Which repeatable practices drove improvement from Q1 through Q3TD, and can they be sustained through quarter-end?",IF(B23="Sustained decline","What persistent constraint has reduced productivity since Q1, and what corrective action is planned?",IF(B23="Q3TD recovery","What changed after the Q2 decline, and is the Q3TD recovery supported by enough sprint evidence?",IF(B23="Q3TD reversal","What changed after the Q2 improvement, and is the Q3TD reversal caused by capacity, complexity, dependencies, scope, or timing?",IF(B23="Data gap","When will Q3TD data be available, and should the missing value be treated as pending rather than zero?",IF(B23="No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23" s="213"/>
    </row>
    <row r="24" customFormat="false" ht="68.25" hidden="false" customHeight="true" outlineLevel="0" collapsed="false">
      <c r="A24" s="213" t="str">
        <f aca="false">'Pivot Productivity'!A21</f>
        <v>NWT - UI</v>
      </c>
      <c r="B24" s="213" t="str">
        <f aca="false">IF(E24="","Data gap",IF(C24="","No Q1 baseline",IF(AND(D24&gt;C24,E24&gt;D24),"Sustained increase",IF(AND(D24&lt;C24,E24&lt;D24),"Sustained decline",IF(AND(D24&lt;C24,E24&gt;D24),"Q3TD recovery",IF(AND(D24&gt;C24,E24&lt;D24),"Q3TD reversal","Stable / mixed"))))))</f>
        <v>Q3TD reversal</v>
      </c>
      <c r="C24" s="221" t="n">
        <f aca="false">IF('Pivot Productivity'!D21="","",'Pivot Productivity'!D21)</f>
        <v>7.76666666666667</v>
      </c>
      <c r="D24" s="221" t="n">
        <f aca="false">IF('Pivot Productivity'!E21="","",'Pivot Productivity'!E21)</f>
        <v>8.42222222222222</v>
      </c>
      <c r="E24" s="221" t="n">
        <f aca="false">IF('Pivot Productivity'!F21="","",'Pivot Productivity'!F21)</f>
        <v>8.11</v>
      </c>
      <c r="F24" s="221" t="n">
        <f aca="false">IF(OR(C24="",D24=""),"",D24-C24)</f>
        <v>0.655555555555551</v>
      </c>
      <c r="G24" s="221" t="n">
        <f aca="false">IF(OR(D24="",E24=""),"",E24-D24)</f>
        <v>-0.312222222222221</v>
      </c>
      <c r="H24" s="223" t="str">
        <f aca="false">IF(E24="","Q3TD is missing; Q1 was "&amp;TEXT(C24,"0.0")&amp;" and Q2 was "&amp;TEXT(D24,"0.0")&amp;".",IF(C24="","No Q1 baseline. Q2 was "&amp;TEXT(D24,"0.0")&amp;" and Q3TD is "&amp;TEXT(E24,"0.0")&amp;"; the Q3TD comparison remains preliminary.","Q1 "&amp;TEXT(C24,"0.0")&amp;" → Q2 "&amp;TEXT(D24,"0.0")&amp;" → Q3TD "&amp;TEXT(E24,"0.0")&amp;". Pattern: "&amp;LOWER(B24)&amp;"; Q3TD remains partial."))</f>
        <v>Q1 7.8 → Q2 8.4 → Q3TD 8.1. Pattern: q3td reversal; Q3TD remains partial.</v>
      </c>
      <c r="I24" s="223" t="str">
        <f aca="false">IF(B24="Sustained increase","Which repeatable practices drove improvement from Q1 through Q3TD, and can they be sustained through quarter-end?",IF(B24="Sustained decline","What persistent constraint has reduced productivity since Q1, and what corrective action is planned?",IF(B24="Q3TD recovery","What changed after the Q2 decline, and is the Q3TD recovery supported by enough sprint evidence?",IF(B24="Q3TD reversal","What changed after the Q2 improvement, and is the Q3TD reversal caused by capacity, complexity, dependencies, scope, or timing?",IF(B24="Data gap","When will Q3TD data be available, and should the missing value be treated as pending rather than zero?",IF(B24="No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24" s="213"/>
    </row>
    <row r="25" customFormat="false" ht="54.75" hidden="false" customHeight="true" outlineLevel="0" collapsed="false">
      <c r="A25" s="213" t="str">
        <f aca="false">'Pivot Productivity'!A22</f>
        <v>NWT-FSM</v>
      </c>
      <c r="B25" s="213" t="str">
        <f aca="false">IF(E25="","Data gap",IF(C25="","No Q1 baseline",IF(AND(D25&gt;C25,E25&gt;D25),"Sustained increase",IF(AND(D25&lt;C25,E25&lt;D25),"Sustained decline",IF(AND(D25&lt;C25,E25&gt;D25),"Q3TD recovery",IF(AND(D25&gt;C25,E25&lt;D25),"Q3TD reversal","Stable / mixed"))))))</f>
        <v>Sustained increase</v>
      </c>
      <c r="C25" s="221" t="n">
        <f aca="false">IF('Pivot Productivity'!D22="","",'Pivot Productivity'!D22)</f>
        <v>5.12452380952381</v>
      </c>
      <c r="D25" s="221" t="n">
        <f aca="false">IF('Pivot Productivity'!E22="","",'Pivot Productivity'!E22)</f>
        <v>8.08833333333333</v>
      </c>
      <c r="E25" s="221" t="n">
        <f aca="false">IF('Pivot Productivity'!F22="","",'Pivot Productivity'!F22)</f>
        <v>9.03333333333333</v>
      </c>
      <c r="F25" s="221" t="n">
        <f aca="false">IF(OR(C25="",D25=""),"",D25-C25)</f>
        <v>2.96380952380952</v>
      </c>
      <c r="G25" s="221" t="n">
        <f aca="false">IF(OR(D25="",E25=""),"",E25-D25)</f>
        <v>0.945</v>
      </c>
      <c r="H25" s="223" t="str">
        <f aca="false">IF(E25="","Q3TD is missing; Q1 was "&amp;TEXT(C25,"0.0")&amp;" and Q2 was "&amp;TEXT(D25,"0.0")&amp;".",IF(C25="","No Q1 baseline. Q2 was "&amp;TEXT(D25,"0.0")&amp;" and Q3TD is "&amp;TEXT(E25,"0.0")&amp;"; the Q3TD comparison remains preliminary.","Q1 "&amp;TEXT(C25,"0.0")&amp;" → Q2 "&amp;TEXT(D25,"0.0")&amp;" → Q3TD "&amp;TEXT(E25,"0.0")&amp;". Pattern: "&amp;LOWER(B25)&amp;"; Q3TD remains partial."))</f>
        <v>Q1 5.1 → Q2 8.1 → Q3TD 9.0. Pattern: sustained increase; Q3TD remains partial.</v>
      </c>
      <c r="I25" s="223" t="str">
        <f aca="false">IF(B25="Sustained increase","Which repeatable practices drove improvement from Q1 through Q3TD, and can they be sustained through quarter-end?",IF(B25="Sustained decline","What persistent constraint has reduced productivity since Q1, and what corrective action is planned?",IF(B25="Q3TD recovery","What changed after the Q2 decline, and is the Q3TD recovery supported by enough sprint evidence?",IF(B25="Q3TD reversal","What changed after the Q2 improvement, and is the Q3TD reversal caused by capacity, complexity, dependencies, scope, or timing?",IF(B25="Data gap","When will Q3TD data be available, and should the missing value be treated as pending rather than zero?",IF(B25="No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5" s="213"/>
    </row>
    <row r="26" customFormat="false" ht="54.75" hidden="false" customHeight="true" outlineLevel="0" collapsed="false">
      <c r="A26" s="213" t="str">
        <f aca="false">'Pivot Productivity'!A23</f>
        <v>NWT-FSM 2 (NOVA)</v>
      </c>
      <c r="B26" s="213" t="str">
        <f aca="false">IF(E26="","Data gap",IF(C26="","No Q1 baseline",IF(AND(D26&gt;C26,E26&gt;D26),"Sustained increase",IF(AND(D26&lt;C26,E26&lt;D26),"Sustained decline",IF(AND(D26&lt;C26,E26&gt;D26),"Q3TD recovery",IF(AND(D26&gt;C26,E26&lt;D26),"Q3TD reversal","Stable / mixed"))))))</f>
        <v>No Q1 baseline</v>
      </c>
      <c r="C26" s="221" t="str">
        <f aca="false">IF('Pivot Productivity'!D23="","",'Pivot Productivity'!D23)</f>
        <v/>
      </c>
      <c r="D26" s="221" t="n">
        <f aca="false">IF('Pivot Productivity'!E23="","",'Pivot Productivity'!E23)</f>
        <v>5.97222222222222</v>
      </c>
      <c r="E26" s="221" t="n">
        <f aca="false">IF('Pivot Productivity'!F23="","",'Pivot Productivity'!F23)</f>
        <v>7</v>
      </c>
      <c r="F26" s="221" t="str">
        <f aca="false">IF(OR(C26="",D26=""),"",D26-C26)</f>
        <v/>
      </c>
      <c r="G26" s="221" t="n">
        <f aca="false">IF(OR(D26="",E26=""),"",E26-D26)</f>
        <v>1.02777777777778</v>
      </c>
      <c r="H26" s="223" t="str">
        <f aca="false">IF(E26="","Q3TD is missing; Q1 was "&amp;TEXT(C26,"0.0")&amp;" and Q2 was "&amp;TEXT(D26,"0.0")&amp;".",IF(C26="","No Q1 baseline. Q2 was "&amp;TEXT(D26,"0.0")&amp;" and Q3TD is "&amp;TEXT(E26,"0.0")&amp;"; the Q3TD comparison remains preliminary.","Q1 "&amp;TEXT(C26,"0.0")&amp;" → Q2 "&amp;TEXT(D26,"0.0")&amp;" → Q3TD "&amp;TEXT(E26,"0.0")&amp;". Pattern: "&amp;LOWER(B26)&amp;"; Q3TD remains partial."))</f>
        <v>No Q1 baseline. Q2 was 6.0 and Q3TD is 7.0; the Q3TD comparison remains preliminary.</v>
      </c>
      <c r="I26" s="223" t="str">
        <f aca="false">IF(B26="Sustained increase","Which repeatable practices drove improvement from Q1 through Q3TD, and can they be sustained through quarter-end?",IF(B26="Sustained decline","What persistent constraint has reduced productivity since Q1, and what corrective action is planned?",IF(B26="Q3TD recovery","What changed after the Q2 decline, and is the Q3TD recovery supported by enough sprint evidence?",IF(B26="Q3TD reversal","What changed after the Q2 improvement, and is the Q3TD reversal caused by capacity, complexity, dependencies, scope, or timing?",IF(B26="Data gap","When will Q3TD data be available, and should the missing value be treated as pending rather than zero?",IF(B26="No Q1 baseline","Why is Q1 unavailable, and what baseline should be used to assess this application?","What explains the stable or mixed pattern, and what should be monitored in the remaining Q3 sprints?"))))))</f>
        <v>Why is Q1 unavailable, and what baseline should be used to assess this application?</v>
      </c>
      <c r="J26" s="213"/>
    </row>
    <row r="27" customFormat="false" ht="54.75" hidden="false" customHeight="true" outlineLevel="0" collapsed="false">
      <c r="A27" s="213" t="str">
        <f aca="false">'Pivot Productivity'!A24</f>
        <v>Platform</v>
      </c>
      <c r="B27" s="213" t="str">
        <f aca="false">IF(E27="","Data gap",IF(C27="","No Q1 baseline",IF(AND(D27&gt;C27,E27&gt;D27),"Sustained increase",IF(AND(D27&lt;C27,E27&lt;D27),"Sustained decline",IF(AND(D27&lt;C27,E27&gt;D27),"Q3TD recovery",IF(AND(D27&gt;C27,E27&lt;D27),"Q3TD reversal","Stable / mixed"))))))</f>
        <v>Sustained increase</v>
      </c>
      <c r="C27" s="221" t="n">
        <f aca="false">IF('Pivot Productivity'!D24="","",'Pivot Productivity'!D24)</f>
        <v>6.65493650793651</v>
      </c>
      <c r="D27" s="221" t="n">
        <f aca="false">IF('Pivot Productivity'!E24="","",'Pivot Productivity'!E24)</f>
        <v>8.27550793649735</v>
      </c>
      <c r="E27" s="221" t="n">
        <f aca="false">IF('Pivot Productivity'!F24="","",'Pivot Productivity'!F24)</f>
        <v>8.83330158713333</v>
      </c>
      <c r="F27" s="221" t="n">
        <f aca="false">IF(OR(C27="",D27=""),"",D27-C27)</f>
        <v>1.62057142856084</v>
      </c>
      <c r="G27" s="221" t="n">
        <f aca="false">IF(OR(D27="",E27=""),"",E27-D27)</f>
        <v>0.557793650635979</v>
      </c>
      <c r="H27" s="223" t="str">
        <f aca="false">IF(E27="","Q3TD is missing; Q1 was "&amp;TEXT(C27,"0.0")&amp;" and Q2 was "&amp;TEXT(D27,"0.0")&amp;".",IF(C27="","No Q1 baseline. Q2 was "&amp;TEXT(D27,"0.0")&amp;" and Q3TD is "&amp;TEXT(E27,"0.0")&amp;"; the Q3TD comparison remains preliminary.","Q1 "&amp;TEXT(C27,"0.0")&amp;" → Q2 "&amp;TEXT(D27,"0.0")&amp;" → Q3TD "&amp;TEXT(E27,"0.0")&amp;". Pattern: "&amp;LOWER(B27)&amp;"; Q3TD remains partial."))</f>
        <v>Q1 6.7 → Q2 8.3 → Q3TD 8.8. Pattern: sustained increase; Q3TD remains partial.</v>
      </c>
      <c r="I27" s="223" t="str">
        <f aca="false">IF(B27="Sustained increase","Which repeatable practices drove improvement from Q1 through Q3TD, and can they be sustained through quarter-end?",IF(B27="Sustained decline","What persistent constraint has reduced productivity since Q1, and what corrective action is planned?",IF(B27="Q3TD recovery","What changed after the Q2 decline, and is the Q3TD recovery supported by enough sprint evidence?",IF(B27="Q3TD reversal","What changed after the Q2 improvement, and is the Q3TD reversal caused by capacity, complexity, dependencies, scope, or timing?",IF(B27="Data gap","When will Q3TD data be available, and should the missing value be treated as pending rather than zero?",IF(B27="No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7" s="213"/>
    </row>
    <row r="28" customFormat="false" ht="54.75" hidden="false" customHeight="true" outlineLevel="0" collapsed="false">
      <c r="A28" s="213" t="str">
        <f aca="false">'Pivot Productivity'!A25</f>
        <v>Celestial (Titan)</v>
      </c>
      <c r="B28" s="213" t="str">
        <f aca="false">IF(E28="","Data gap",IF(C28="","No Q1 baseline",IF(AND(D28&gt;C28,E28&gt;D28),"Sustained increase",IF(AND(D28&lt;C28,E28&lt;D28),"Sustained decline",IF(AND(D28&lt;C28,E28&gt;D28),"Q3TD recovery",IF(AND(D28&gt;C28,E28&lt;D28),"Q3TD reversal","Stable / mixed"))))))</f>
        <v>Sustained increase</v>
      </c>
      <c r="C28" s="221" t="n">
        <f aca="false">IF('Pivot Productivity'!D25="","",'Pivot Productivity'!D25)</f>
        <v>11.8285714285714</v>
      </c>
      <c r="D28" s="221" t="n">
        <f aca="false">IF('Pivot Productivity'!E25="","",'Pivot Productivity'!E25)</f>
        <v>13.0333333333333</v>
      </c>
      <c r="E28" s="221" t="n">
        <f aca="false">IF('Pivot Productivity'!F25="","",'Pivot Productivity'!F25)</f>
        <v>14.0666666666667</v>
      </c>
      <c r="F28" s="221" t="n">
        <f aca="false">IF(OR(C28="",D28=""),"",D28-C28)</f>
        <v>1.2047619047619</v>
      </c>
      <c r="G28" s="221" t="n">
        <f aca="false">IF(OR(D28="",E28=""),"",E28-D28)</f>
        <v>1.0333333333334</v>
      </c>
      <c r="H28" s="223" t="str">
        <f aca="false">IF(E28="","Q3TD is missing; Q1 was "&amp;TEXT(C28,"0.0")&amp;" and Q2 was "&amp;TEXT(D28,"0.0")&amp;".",IF(C28="","No Q1 baseline. Q2 was "&amp;TEXT(D28,"0.0")&amp;" and Q3TD is "&amp;TEXT(E28,"0.0")&amp;"; the Q3TD comparison remains preliminary.","Q1 "&amp;TEXT(C28,"0.0")&amp;" → Q2 "&amp;TEXT(D28,"0.0")&amp;" → Q3TD "&amp;TEXT(E28,"0.0")&amp;". Pattern: "&amp;LOWER(B28)&amp;"; Q3TD remains partial."))</f>
        <v>Q1 11.8 → Q2 13.0 → Q3TD 14.1. Pattern: sustained increase; Q3TD remains partial.</v>
      </c>
      <c r="I28" s="223" t="str">
        <f aca="false">IF(B28="Sustained increase","Which repeatable practices drove improvement from Q1 through Q3TD, and can they be sustained through quarter-end?",IF(B28="Sustained decline","What persistent constraint has reduced productivity since Q1, and what corrective action is planned?",IF(B28="Q3TD recovery","What changed after the Q2 decline, and is the Q3TD recovery supported by enough sprint evidence?",IF(B28="Q3TD reversal","What changed after the Q2 improvement, and is the Q3TD reversal caused by capacity, complexity, dependencies, scope, or timing?",IF(B28="Data gap","When will Q3TD data be available, and should the missing value be treated as pending rather than zero?",IF(B28="No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8" s="213"/>
    </row>
    <row r="29" customFormat="false" ht="54.75" hidden="false" customHeight="true" outlineLevel="0" collapsed="false">
      <c r="A29" s="213" t="str">
        <f aca="false">'Pivot Productivity'!A26</f>
        <v>Celestial (Universal)</v>
      </c>
      <c r="B29" s="213" t="str">
        <f aca="false">IF(E29="","Data gap",IF(C29="","No Q1 baseline",IF(AND(D29&gt;C29,E29&gt;D29),"Sustained increase",IF(AND(D29&lt;C29,E29&lt;D29),"Sustained decline",IF(AND(D29&lt;C29,E29&gt;D29),"Q3TD recovery",IF(AND(D29&gt;C29,E29&lt;D29),"Q3TD reversal","Stable / mixed"))))))</f>
        <v>Sustained increase</v>
      </c>
      <c r="C29" s="221" t="n">
        <f aca="false">IF('Pivot Productivity'!D26="","",'Pivot Productivity'!D26)</f>
        <v>8.87333333333333</v>
      </c>
      <c r="D29" s="221" t="n">
        <f aca="false">IF('Pivot Productivity'!E26="","",'Pivot Productivity'!E26)</f>
        <v>9.45142857135714</v>
      </c>
      <c r="E29" s="221" t="n">
        <f aca="false">IF('Pivot Productivity'!F26="","",'Pivot Productivity'!F26)</f>
        <v>10.19095238</v>
      </c>
      <c r="F29" s="221" t="n">
        <f aca="false">IF(OR(C29="",D29=""),"",D29-C29)</f>
        <v>0.57809523802381</v>
      </c>
      <c r="G29" s="221" t="n">
        <f aca="false">IF(OR(D29="",E29=""),"",E29-D29)</f>
        <v>0.739523808642861</v>
      </c>
      <c r="H29" s="223" t="str">
        <f aca="false">IF(E29="","Q3TD is missing; Q1 was "&amp;TEXT(C29,"0.0")&amp;" and Q2 was "&amp;TEXT(D29,"0.0")&amp;".",IF(C29="","No Q1 baseline. Q2 was "&amp;TEXT(D29,"0.0")&amp;" and Q3TD is "&amp;TEXT(E29,"0.0")&amp;"; the Q3TD comparison remains preliminary.","Q1 "&amp;TEXT(C29,"0.0")&amp;" → Q2 "&amp;TEXT(D29,"0.0")&amp;" → Q3TD "&amp;TEXT(E29,"0.0")&amp;". Pattern: "&amp;LOWER(B29)&amp;"; Q3TD remains partial."))</f>
        <v>Q1 8.9 → Q2 9.5 → Q3TD 10.2. Pattern: sustained increase; Q3TD remains partial.</v>
      </c>
      <c r="I29" s="223" t="str">
        <f aca="false">IF(B29="Sustained increase","Which repeatable practices drove improvement from Q1 through Q3TD, and can they be sustained through quarter-end?",IF(B29="Sustained decline","What persistent constraint has reduced productivity since Q1, and what corrective action is planned?",IF(B29="Q3TD recovery","What changed after the Q2 decline, and is the Q3TD recovery supported by enough sprint evidence?",IF(B29="Q3TD reversal","What changed after the Q2 improvement, and is the Q3TD reversal caused by capacity, complexity, dependencies, scope, or timing?",IF(B29="Data gap","When will Q3TD data be available, and should the missing value be treated as pending rather than zero?",IF(B29="No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9" s="213"/>
    </row>
    <row r="30" customFormat="false" ht="54.75" hidden="false" customHeight="true" outlineLevel="0" collapsed="false">
      <c r="A30" s="213" t="str">
        <f aca="false">'Pivot Productivity'!A27</f>
        <v>Flow Engine (optimus)</v>
      </c>
      <c r="B30" s="213" t="str">
        <f aca="false">IF(E30="","Data gap",IF(C30="","No Q1 baseline",IF(AND(D30&gt;C30,E30&gt;D30),"Sustained increase",IF(AND(D30&lt;C30,E30&lt;D30),"Sustained decline",IF(AND(D30&lt;C30,E30&gt;D30),"Q3TD recovery",IF(AND(D30&gt;C30,E30&lt;D30),"Q3TD reversal","Stable / mixed"))))))</f>
        <v>Q3TD recovery</v>
      </c>
      <c r="C30" s="221" t="n">
        <f aca="false">IF('Pivot Productivity'!D27="","",'Pivot Productivity'!D27)</f>
        <v>4.41666666666667</v>
      </c>
      <c r="D30" s="221" t="n">
        <f aca="false">IF('Pivot Productivity'!E27="","",'Pivot Productivity'!E27)</f>
        <v>4.29166666666667</v>
      </c>
      <c r="E30" s="221" t="n">
        <f aca="false">IF('Pivot Productivity'!F27="","",'Pivot Productivity'!F27)</f>
        <v>4.5</v>
      </c>
      <c r="F30" s="221" t="n">
        <f aca="false">IF(OR(C30="",D30=""),"",D30-C30)</f>
        <v>-0.125</v>
      </c>
      <c r="G30" s="221" t="n">
        <f aca="false">IF(OR(D30="",E30=""),"",E30-D30)</f>
        <v>0.20833333333333</v>
      </c>
      <c r="H30" s="223" t="str">
        <f aca="false">IF(E30="","Q3TD is missing; Q1 was "&amp;TEXT(C30,"0.0")&amp;" and Q2 was "&amp;TEXT(D30,"0.0")&amp;".",IF(C30="","No Q1 baseline. Q2 was "&amp;TEXT(D30,"0.0")&amp;" and Q3TD is "&amp;TEXT(E30,"0.0")&amp;"; the Q3TD comparison remains preliminary.","Q1 "&amp;TEXT(C30,"0.0")&amp;" → Q2 "&amp;TEXT(D30,"0.0")&amp;" → Q3TD "&amp;TEXT(E30,"0.0")&amp;". Pattern: "&amp;LOWER(B30)&amp;"; Q3TD remains partial."))</f>
        <v>Q1 4.4 → Q2 4.3 → Q3TD 4.5. Pattern: q3td recovery; Q3TD remains partial.</v>
      </c>
      <c r="I30" s="223" t="str">
        <f aca="false">IF(B30="Sustained increase","Which repeatable practices drove improvement from Q1 through Q3TD, and can they be sustained through quarter-end?",IF(B30="Sustained decline","What persistent constraint has reduced productivity since Q1, and what corrective action is planned?",IF(B30="Q3TD recovery","What changed after the Q2 decline, and is the Q3TD recovery supported by enough sprint evidence?",IF(B30="Q3TD reversal","What changed after the Q2 improvement, and is the Q3TD reversal caused by capacity, complexity, dependencies, scope, or timing?",IF(B30="Data gap","When will Q3TD data be available, and should the missing value be treated as pending rather than zero?",IF(B30="No Q1 baseline","Why is Q1 unavailable, and what baseline should be used to assess this application?","What explains the stable or mixed pattern, and what should be monitored in the remaining Q3 sprints?"))))))</f>
        <v>What changed after the Q2 decline, and is the Q3TD recovery supported by enough sprint evidence?</v>
      </c>
      <c r="J30" s="213"/>
    </row>
    <row r="31" customFormat="false" ht="54.75" hidden="false" customHeight="true" outlineLevel="0" collapsed="false">
      <c r="A31" s="213" t="str">
        <f aca="false">'Pivot Productivity'!A28</f>
        <v>Flow Engine (prometheus)</v>
      </c>
      <c r="B31" s="213" t="str">
        <f aca="false">IF(E31="","Data gap",IF(C31="","No Q1 baseline",IF(AND(D31&gt;C31,E31&gt;D31),"Sustained increase",IF(AND(D31&lt;C31,E31&lt;D31),"Sustained decline",IF(AND(D31&lt;C31,E31&gt;D31),"Q3TD recovery",IF(AND(D31&gt;C31,E31&lt;D31),"Q3TD reversal","Stable / mixed"))))))</f>
        <v>Sustained increase</v>
      </c>
      <c r="C31" s="221" t="n">
        <f aca="false">IF('Pivot Productivity'!D28="","",'Pivot Productivity'!D28)</f>
        <v>3.90666666666667</v>
      </c>
      <c r="D31" s="221" t="n">
        <f aca="false">IF('Pivot Productivity'!E28="","",'Pivot Productivity'!E28)</f>
        <v>4.60111111112963</v>
      </c>
      <c r="E31" s="221" t="n">
        <f aca="false">IF('Pivot Productivity'!F28="","",'Pivot Productivity'!F28)</f>
        <v>5.408888889</v>
      </c>
      <c r="F31" s="221" t="n">
        <f aca="false">IF(OR(C31="",D31=""),"",D31-C31)</f>
        <v>0.694444444462961</v>
      </c>
      <c r="G31" s="221" t="n">
        <f aca="false">IF(OR(D31="",E31=""),"",E31-D31)</f>
        <v>0.80777777787037</v>
      </c>
      <c r="H31" s="223" t="str">
        <f aca="false">IF(E31="","Q3TD is missing; Q1 was "&amp;TEXT(C31,"0.0")&amp;" and Q2 was "&amp;TEXT(D31,"0.0")&amp;".",IF(C31="","No Q1 baseline. Q2 was "&amp;TEXT(D31,"0.0")&amp;" and Q3TD is "&amp;TEXT(E31,"0.0")&amp;"; the Q3TD comparison remains preliminary.","Q1 "&amp;TEXT(C31,"0.0")&amp;" → Q2 "&amp;TEXT(D31,"0.0")&amp;" → Q3TD "&amp;TEXT(E31,"0.0")&amp;". Pattern: "&amp;LOWER(B31)&amp;"; Q3TD remains partial."))</f>
        <v>Q1 3.9 → Q2 4.6 → Q3TD 5.4. Pattern: sustained increase; Q3TD remains partial.</v>
      </c>
      <c r="I31" s="223" t="str">
        <f aca="false">IF(B31="Sustained increase","Which repeatable practices drove improvement from Q1 through Q3TD, and can they be sustained through quarter-end?",IF(B31="Sustained decline","What persistent constraint has reduced productivity since Q1, and what corrective action is planned?",IF(B31="Q3TD recovery","What changed after the Q2 decline, and is the Q3TD recovery supported by enough sprint evidence?",IF(B31="Q3TD reversal","What changed after the Q2 improvement, and is the Q3TD reversal caused by capacity, complexity, dependencies, scope, or timing?",IF(B31="Data gap","When will Q3TD data be available, and should the missing value be treated as pending rather than zero?",IF(B31="No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31" s="213"/>
    </row>
    <row r="32" customFormat="false" ht="54.75" hidden="false" customHeight="true" outlineLevel="0" collapsed="false">
      <c r="A32" s="213" t="str">
        <f aca="false">'Pivot Productivity'!A29</f>
        <v>Right Answers</v>
      </c>
      <c r="B32" s="213" t="str">
        <f aca="false">IF(E32="","Data gap",IF(C32="","No Q1 baseline",IF(AND(D32&gt;C32,E32&gt;D32),"Sustained increase",IF(AND(D32&lt;C32,E32&lt;D32),"Sustained decline",IF(AND(D32&lt;C32,E32&gt;D32),"Q3TD recovery",IF(AND(D32&gt;C32,E32&lt;D32),"Q3TD reversal","Stable / mixed"))))))</f>
        <v>Stable / mixed</v>
      </c>
      <c r="C32" s="221" t="n">
        <f aca="false">IF('Pivot Productivity'!D29="","",'Pivot Productivity'!D29)</f>
        <v>4.24944444444444</v>
      </c>
      <c r="D32" s="221" t="n">
        <f aca="false">IF('Pivot Productivity'!E29="","",'Pivot Productivity'!E29)</f>
        <v>10</v>
      </c>
      <c r="E32" s="221" t="n">
        <f aca="false">IF('Pivot Productivity'!F29="","",'Pivot Productivity'!F29)</f>
        <v>10</v>
      </c>
      <c r="F32" s="221" t="n">
        <f aca="false">IF(OR(C32="",D32=""),"",D32-C32)</f>
        <v>5.75055555555556</v>
      </c>
      <c r="G32" s="221" t="n">
        <f aca="false">IF(OR(D32="",E32=""),"",E32-D32)</f>
        <v>0</v>
      </c>
      <c r="H32" s="223" t="str">
        <f aca="false">IF(E32="","Q3TD is missing; Q1 was "&amp;TEXT(C32,"0.0")&amp;" and Q2 was "&amp;TEXT(D32,"0.0")&amp;".",IF(C32="","No Q1 baseline. Q2 was "&amp;TEXT(D32,"0.0")&amp;" and Q3TD is "&amp;TEXT(E32,"0.0")&amp;"; the Q3TD comparison remains preliminary.","Q1 "&amp;TEXT(C32,"0.0")&amp;" → Q2 "&amp;TEXT(D32,"0.0")&amp;" → Q3TD "&amp;TEXT(E32,"0.0")&amp;". Pattern: "&amp;LOWER(B32)&amp;"; Q3TD remains partial."))</f>
        <v>Q1 4.2 → Q2 10.0 → Q3TD 10.0. Pattern: stable / mixed; Q3TD remains partial.</v>
      </c>
      <c r="I32" s="223" t="str">
        <f aca="false">IF(B32="Sustained increase","Which repeatable practices drove improvement from Q1 through Q3TD, and can they be sustained through quarter-end?",IF(B32="Sustained decline","What persistent constraint has reduced productivity since Q1, and what corrective action is planned?",IF(B32="Q3TD recovery","What changed after the Q2 decline, and is the Q3TD recovery supported by enough sprint evidence?",IF(B32="Q3TD reversal","What changed after the Q2 improvement, and is the Q3TD reversal caused by capacity, complexity, dependencies, scope, or timing?",IF(B32="Data gap","When will Q3TD data be available, and should the missing value be treated as pending rather than zero?",IF(B32="No Q1 baseline","Why is Q1 unavailable, and what baseline should be used to assess this application?","What explains the stable or mixed pattern, and what should be monitored in the remaining Q3 sprints?"))))))</f>
        <v>What explains the stable or mixed pattern, and what should be monitored in the remaining Q3 sprints?</v>
      </c>
      <c r="J32" s="213"/>
    </row>
    <row r="33" customFormat="false" ht="68.25" hidden="false" customHeight="true" outlineLevel="0" collapsed="false">
      <c r="A33" s="213" t="str">
        <f aca="false">'Pivot Productivity'!A30</f>
        <v>XRM</v>
      </c>
      <c r="B33" s="213" t="str">
        <f aca="false">IF(E33="","Data gap",IF(C33="","No Q1 baseline",IF(AND(D33&gt;C33,E33&gt;D33),"Sustained increase",IF(AND(D33&lt;C33,E33&lt;D33),"Sustained decline",IF(AND(D33&lt;C33,E33&gt;D33),"Q3TD recovery",IF(AND(D33&gt;C33,E33&lt;D33),"Q3TD reversal","Stable / mixed"))))))</f>
        <v>Q3TD reversal</v>
      </c>
      <c r="C33" s="221" t="n">
        <f aca="false">IF('Pivot Productivity'!D30="","",'Pivot Productivity'!D30)</f>
        <v>5.72488215488216</v>
      </c>
      <c r="D33" s="221" t="n">
        <f aca="false">IF('Pivot Productivity'!E30="","",'Pivot Productivity'!E30)</f>
        <v>5.97762626264142</v>
      </c>
      <c r="E33" s="221" t="n">
        <f aca="false">IF('Pivot Productivity'!F30="","",'Pivot Productivity'!F30)</f>
        <v>5.75343434344444</v>
      </c>
      <c r="F33" s="221" t="n">
        <f aca="false">IF(OR(C33="",D33=""),"",D33-C33)</f>
        <v>0.25274410775926</v>
      </c>
      <c r="G33" s="221" t="n">
        <f aca="false">IF(OR(D33="",E33=""),"",E33-D33)</f>
        <v>-0.224191919196979</v>
      </c>
      <c r="H33" s="223" t="str">
        <f aca="false">IF(E33="","Q3TD is missing; Q1 was "&amp;TEXT(C33,"0.0")&amp;" and Q2 was "&amp;TEXT(D33,"0.0")&amp;".",IF(C33="","No Q1 baseline. Q2 was "&amp;TEXT(D33,"0.0")&amp;" and Q3TD is "&amp;TEXT(E33,"0.0")&amp;"; the Q3TD comparison remains preliminary.","Q1 "&amp;TEXT(C33,"0.0")&amp;" → Q2 "&amp;TEXT(D33,"0.0")&amp;" → Q3TD "&amp;TEXT(E33,"0.0")&amp;". Pattern: "&amp;LOWER(B33)&amp;"; Q3TD remains partial."))</f>
        <v>Q1 5.7 → Q2 6.0 → Q3TD 5.8. Pattern: q3td reversal; Q3TD remains partial.</v>
      </c>
      <c r="I33" s="223" t="str">
        <f aca="false">IF(B33="Sustained increase","Which repeatable practices drove improvement from Q1 through Q3TD, and can they be sustained through quarter-end?",IF(B33="Sustained decline","What persistent constraint has reduced productivity since Q1, and what corrective action is planned?",IF(B33="Q3TD recovery","What changed after the Q2 decline, and is the Q3TD recovery supported by enough sprint evidence?",IF(B33="Q3TD reversal","What changed after the Q2 improvement, and is the Q3TD reversal caused by capacity, complexity, dependencies, scope, or timing?",IF(B33="Data gap","When will Q3TD data be available, and should the missing value be treated as pending rather than zero?",IF(B33="No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33" s="213"/>
    </row>
    <row r="34" customFormat="false" ht="68.25" hidden="false" customHeight="true" outlineLevel="0" collapsed="false">
      <c r="A34" s="213" t="str">
        <f aca="false">'Pivot Productivity'!A31</f>
        <v>XRM - HSD Scrum</v>
      </c>
      <c r="B34" s="213" t="str">
        <f aca="false">IF(E34="","Data gap",IF(C34="","No Q1 baseline",IF(AND(D34&gt;C34,E34&gt;D34),"Sustained increase",IF(AND(D34&lt;C34,E34&lt;D34),"Sustained decline",IF(AND(D34&lt;C34,E34&gt;D34),"Q3TD recovery",IF(AND(D34&gt;C34,E34&lt;D34),"Q3TD reversal","Stable / mixed"))))))</f>
        <v>Q3TD reversal</v>
      </c>
      <c r="C34" s="221" t="n">
        <f aca="false">IF('Pivot Productivity'!D31="","",'Pivot Productivity'!D31)</f>
        <v>4.89055555555556</v>
      </c>
      <c r="D34" s="221" t="n">
        <f aca="false">IF('Pivot Productivity'!E31="","",'Pivot Productivity'!E31)</f>
        <v>5.67424242424243</v>
      </c>
      <c r="E34" s="221" t="n">
        <f aca="false">IF('Pivot Productivity'!F31="","",'Pivot Productivity'!F31)</f>
        <v>4.63333333333333</v>
      </c>
      <c r="F34" s="221" t="n">
        <f aca="false">IF(OR(C34="",D34=""),"",D34-C34)</f>
        <v>0.78368686868687</v>
      </c>
      <c r="G34" s="221" t="n">
        <f aca="false">IF(OR(D34="",E34=""),"",E34-D34)</f>
        <v>-1.0409090909091</v>
      </c>
      <c r="H34" s="223" t="str">
        <f aca="false">IF(E34="","Q3TD is missing; Q1 was "&amp;TEXT(C34,"0.0")&amp;" and Q2 was "&amp;TEXT(D34,"0.0")&amp;".",IF(C34="","No Q1 baseline. Q2 was "&amp;TEXT(D34,"0.0")&amp;" and Q3TD is "&amp;TEXT(E34,"0.0")&amp;"; the Q3TD comparison remains preliminary.","Q1 "&amp;TEXT(C34,"0.0")&amp;" → Q2 "&amp;TEXT(D34,"0.0")&amp;" → Q3TD "&amp;TEXT(E34,"0.0")&amp;". Pattern: "&amp;LOWER(B34)&amp;"; Q3TD remains partial."))</f>
        <v>Q1 4.9 → Q2 5.7 → Q3TD 4.6. Pattern: q3td reversal; Q3TD remains partial.</v>
      </c>
      <c r="I34" s="223" t="str">
        <f aca="false">IF(B34="Sustained increase","Which repeatable practices drove improvement from Q1 through Q3TD, and can they be sustained through quarter-end?",IF(B34="Sustained decline","What persistent constraint has reduced productivity since Q1, and what corrective action is planned?",IF(B34="Q3TD recovery","What changed after the Q2 decline, and is the Q3TD recovery supported by enough sprint evidence?",IF(B34="Q3TD reversal","What changed after the Q2 improvement, and is the Q3TD reversal caused by capacity, complexity, dependencies, scope, or timing?",IF(B34="Data gap","When will Q3TD data be available, and should the missing value be treated as pending rather than zero?",IF(B34="No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34" s="213"/>
    </row>
    <row r="35" customFormat="false" ht="54.75" hidden="false" customHeight="true" outlineLevel="0" collapsed="false">
      <c r="A35" s="213" t="str">
        <f aca="false">'Pivot Productivity'!A32</f>
        <v>XRM - Video Scrum</v>
      </c>
      <c r="B35" s="213" t="str">
        <f aca="false">IF(E35="","Data gap",IF(C35="","No Q1 baseline",IF(AND(D35&gt;C35,E35&gt;D35),"Sustained increase",IF(AND(D35&lt;C35,E35&lt;D35),"Sustained decline",IF(AND(D35&lt;C35,E35&gt;D35),"Q3TD recovery",IF(AND(D35&gt;C35,E35&lt;D35),"Q3TD reversal","Stable / mixed"))))))</f>
        <v>Q3TD recovery</v>
      </c>
      <c r="C35" s="221" t="n">
        <f aca="false">IF('Pivot Productivity'!D32="","",'Pivot Productivity'!D32)</f>
        <v>6.41484848484849</v>
      </c>
      <c r="D35" s="221" t="n">
        <f aca="false">IF('Pivot Productivity'!E32="","",'Pivot Productivity'!E32)</f>
        <v>6.39196969701515</v>
      </c>
      <c r="E35" s="221" t="n">
        <f aca="false">IF('Pivot Productivity'!F32="","",'Pivot Productivity'!F32)</f>
        <v>7.06030303033333</v>
      </c>
      <c r="F35" s="221" t="n">
        <f aca="false">IF(OR(C35="",D35=""),"",D35-C35)</f>
        <v>-0.0228787878333403</v>
      </c>
      <c r="G35" s="221" t="n">
        <f aca="false">IF(OR(D35="",E35=""),"",E35-D35)</f>
        <v>0.66833333331818</v>
      </c>
      <c r="H35" s="223" t="str">
        <f aca="false">IF(E35="","Q3TD is missing; Q1 was "&amp;TEXT(C35,"0.0")&amp;" and Q2 was "&amp;TEXT(D35,"0.0")&amp;".",IF(C35="","No Q1 baseline. Q2 was "&amp;TEXT(D35,"0.0")&amp;" and Q3TD is "&amp;TEXT(E35,"0.0")&amp;"; the Q3TD comparison remains preliminary.","Q1 "&amp;TEXT(C35,"0.0")&amp;" → Q2 "&amp;TEXT(D35,"0.0")&amp;" → Q3TD "&amp;TEXT(E35,"0.0")&amp;". Pattern: "&amp;LOWER(B35)&amp;"; Q3TD remains partial."))</f>
        <v>Q1 6.4 → Q2 6.4 → Q3TD 7.1. Pattern: q3td recovery; Q3TD remains partial.</v>
      </c>
      <c r="I35" s="223" t="str">
        <f aca="false">IF(B35="Sustained increase","Which repeatable practices drove improvement from Q1 through Q3TD, and can they be sustained through quarter-end?",IF(B35="Sustained decline","What persistent constraint has reduced productivity since Q1, and what corrective action is planned?",IF(B35="Q3TD recovery","What changed after the Q2 decline, and is the Q3TD recovery supported by enough sprint evidence?",IF(B35="Q3TD reversal","What changed after the Q2 improvement, and is the Q3TD reversal caused by capacity, complexity, dependencies, scope, or timing?",IF(B35="Data gap","When will Q3TD data be available, and should the missing value be treated as pending rather than zero?",IF(B35="No Q1 baseline","Why is Q1 unavailable, and what baseline should be used to assess this application?","What explains the stable or mixed pattern, and what should be monitored in the remaining Q3 sprints?"))))))</f>
        <v>What changed after the Q2 decline, and is the Q3TD recovery supported by enough sprint evidence?</v>
      </c>
      <c r="J35" s="213"/>
    </row>
    <row r="36" customFormat="false" ht="54.75" hidden="false" customHeight="true" outlineLevel="0" collapsed="false">
      <c r="A36" s="213" t="str">
        <f aca="false">'Pivot Productivity'!A33</f>
        <v>XRM - VOIXM Scrum</v>
      </c>
      <c r="B36" s="213" t="str">
        <f aca="false">IF(E36="","Data gap",IF(C36="","No Q1 baseline",IF(AND(D36&gt;C36,E36&gt;D36),"Sustained increase",IF(AND(D36&lt;C36,E36&lt;D36),"Sustained decline",IF(AND(D36&lt;C36,E36&gt;D36),"Q3TD recovery",IF(AND(D36&gt;C36,E36&lt;D36),"Q3TD reversal","Stable / mixed"))))))</f>
        <v>Sustained decline</v>
      </c>
      <c r="C36" s="221" t="n">
        <f aca="false">IF('Pivot Productivity'!D33="","",'Pivot Productivity'!D33)</f>
        <v>5.86924242424243</v>
      </c>
      <c r="D36" s="221" t="n">
        <f aca="false">IF('Pivot Productivity'!E33="","",'Pivot Productivity'!E33)</f>
        <v>5.86666666666667</v>
      </c>
      <c r="E36" s="221" t="n">
        <f aca="false">IF('Pivot Productivity'!F33="","",'Pivot Productivity'!F33)</f>
        <v>5.56666666666667</v>
      </c>
      <c r="F36" s="221" t="n">
        <f aca="false">IF(OR(C36="",D36=""),"",D36-C36)</f>
        <v>-0.00257575757576056</v>
      </c>
      <c r="G36" s="221" t="n">
        <f aca="false">IF(OR(D36="",E36=""),"",E36-D36)</f>
        <v>-0.3</v>
      </c>
      <c r="H36" s="223" t="str">
        <f aca="false">IF(E36="","Q3TD is missing; Q1 was "&amp;TEXT(C36,"0.0")&amp;" and Q2 was "&amp;TEXT(D36,"0.0")&amp;".",IF(C36="","No Q1 baseline. Q2 was "&amp;TEXT(D36,"0.0")&amp;" and Q3TD is "&amp;TEXT(E36,"0.0")&amp;"; the Q3TD comparison remains preliminary.","Q1 "&amp;TEXT(C36,"0.0")&amp;" → Q2 "&amp;TEXT(D36,"0.0")&amp;" → Q3TD "&amp;TEXT(E36,"0.0")&amp;". Pattern: "&amp;LOWER(B36)&amp;"; Q3TD remains partial."))</f>
        <v>Q1 5.9 → Q2 5.9 → Q3TD 5.6. Pattern: sustained decline; Q3TD remains partial.</v>
      </c>
      <c r="I36" s="223" t="str">
        <f aca="false">IF(B36="Sustained increase","Which repeatable practices drove improvement from Q1 through Q3TD, and can they be sustained through quarter-end?",IF(B36="Sustained decline","What persistent constraint has reduced productivity since Q1, and what corrective action is planned?",IF(B36="Q3TD recovery","What changed after the Q2 decline, and is the Q3TD recovery supported by enough sprint evidence?",IF(B36="Q3TD reversal","What changed after the Q2 improvement, and is the Q3TD reversal caused by capacity, complexity, dependencies, scope, or timing?",IF(B36="Data gap","When will Q3TD data be available, and should the missing value be treated as pending rather than zero?",IF(B36="No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36" s="213"/>
    </row>
  </sheetData>
  <mergeCells count="2">
    <mergeCell ref="A1:J1"/>
    <mergeCell ref="A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2025-11-13T04:15:34Z</dcterms:created>
  <dc:creator>Kenkary, Siva Prasad</dc:creator>
  <dc:description/>
  <dc:language>en-US</dc:language>
  <cp:lastModifiedBy/>
  <dcterms:modified xsi:type="dcterms:W3CDTF">2026-08-05T08:06:19Z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0x010100C96D1DE775907E49AD88F8ED8820A16B</vt:lpwstr>
  </property>
  <property fmtid="{D5CDD505-2E9C-101B-9397-08002B2CF9AE}" pid="3" name="MediaServiceImageTags">
    <vt:lpwstr/>
  </property>
</Properties>
</file>